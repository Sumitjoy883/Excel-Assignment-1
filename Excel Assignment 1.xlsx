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4.xml" ContentType="application/vnd.openxmlformats-officedocument.spreadsheetml.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dc9991bfaa39e0/Desktop/"/>
    </mc:Choice>
  </mc:AlternateContent>
  <xr:revisionPtr revIDLastSave="0" documentId="8_{50D69E9C-398C-4B30-92B9-1D72D8302ADB}" xr6:coauthVersionLast="47" xr6:coauthVersionMax="47" xr10:uidLastSave="{00000000-0000-0000-0000-000000000000}"/>
  <bookViews>
    <workbookView xWindow="-108" yWindow="-108" windowWidth="23256" windowHeight="13896" activeTab="6" xr2:uid="{4475DBF6-DCF6-4F6B-B0A5-07F2AEC629CF}"/>
  </bookViews>
  <sheets>
    <sheet name="Data" sheetId="1" r:id="rId1"/>
    <sheet name="Q1" sheetId="2" r:id="rId2"/>
    <sheet name="Q2" sheetId="3" r:id="rId3"/>
    <sheet name="Q3" sheetId="4" r:id="rId4"/>
    <sheet name="Q4" sheetId="5" r:id="rId5"/>
    <sheet name="Q5" sheetId="6" r:id="rId6"/>
    <sheet name="Q6" sheetId="7" r:id="rId7"/>
  </sheet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7" l="1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C20" i="6" a="1"/>
  <c r="C20" i="6" s="1"/>
  <c r="E19" i="6"/>
  <c r="C21" i="6" s="1" a="1"/>
  <c r="C21" i="6" s="1"/>
  <c r="P24" i="5"/>
  <c r="D24" i="5"/>
  <c r="H14" i="4"/>
  <c r="H5" i="4"/>
  <c r="H21" i="4"/>
  <c r="H9" i="4"/>
  <c r="H27" i="4"/>
  <c r="H16" i="4"/>
  <c r="H13" i="4"/>
  <c r="H23" i="4"/>
  <c r="H6" i="4"/>
  <c r="H15" i="4"/>
  <c r="H20" i="4"/>
  <c r="H8" i="4"/>
  <c r="H25" i="4"/>
  <c r="H18" i="4"/>
  <c r="H12" i="4"/>
  <c r="H28" i="4"/>
  <c r="H22" i="4"/>
  <c r="H7" i="4"/>
  <c r="H17" i="4"/>
  <c r="H19" i="4"/>
  <c r="H29" i="4"/>
  <c r="H24" i="4"/>
  <c r="H11" i="4"/>
  <c r="H26" i="4"/>
  <c r="H10" i="4"/>
  <c r="I8" i="4" l="1"/>
  <c r="I15" i="4"/>
  <c r="I27" i="4"/>
  <c r="I14" i="4"/>
  <c r="I11" i="4"/>
  <c r="I20" i="4"/>
  <c r="I24" i="4"/>
  <c r="I29" i="4"/>
  <c r="I6" i="4"/>
  <c r="I19" i="4"/>
  <c r="I23" i="4"/>
  <c r="I17" i="4"/>
  <c r="I13" i="4"/>
  <c r="I7" i="4"/>
  <c r="I16" i="4"/>
  <c r="I22" i="4"/>
  <c r="I28" i="4"/>
  <c r="I9" i="4"/>
  <c r="I12" i="4"/>
  <c r="I21" i="4"/>
  <c r="I18" i="4"/>
  <c r="I5" i="4"/>
  <c r="I10" i="4"/>
  <c r="I25" i="4"/>
  <c r="I26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<sst xmlns="http://schemas.openxmlformats.org/spreadsheetml/2006/main" count="323" uniqueCount="67">
  <si>
    <t>Employee_ID</t>
  </si>
  <si>
    <t>Name</t>
  </si>
  <si>
    <t>Department</t>
  </si>
  <si>
    <t>Hours_Worked</t>
  </si>
  <si>
    <t>Tasks_Completed</t>
  </si>
  <si>
    <t>Productivity_Score</t>
  </si>
  <si>
    <t>Performance_Rating</t>
  </si>
  <si>
    <t>Aakash</t>
  </si>
  <si>
    <t>Sales</t>
  </si>
  <si>
    <t>Meera</t>
  </si>
  <si>
    <t>Marketing</t>
  </si>
  <si>
    <t>Suresh</t>
  </si>
  <si>
    <t>HR</t>
  </si>
  <si>
    <t>Riya</t>
  </si>
  <si>
    <t>IT</t>
  </si>
  <si>
    <t>Prakash</t>
  </si>
  <si>
    <t>Finance</t>
  </si>
  <si>
    <t>Neha</t>
  </si>
  <si>
    <t>Rahul</t>
  </si>
  <si>
    <t>Priya</t>
  </si>
  <si>
    <t>Kunal</t>
  </si>
  <si>
    <t>Sneha</t>
  </si>
  <si>
    <t>Amit</t>
  </si>
  <si>
    <t>Pooja</t>
  </si>
  <si>
    <t>Varun</t>
  </si>
  <si>
    <t>Deepak</t>
  </si>
  <si>
    <t>Rakesh</t>
  </si>
  <si>
    <t>Kavita</t>
  </si>
  <si>
    <t>Sanjay</t>
  </si>
  <si>
    <t>Arjun</t>
  </si>
  <si>
    <t>Anjali</t>
  </si>
  <si>
    <t>Suman</t>
  </si>
  <si>
    <t>Mohan</t>
  </si>
  <si>
    <t>Jyoti</t>
  </si>
  <si>
    <t>Neeraj</t>
  </si>
  <si>
    <t>Akash</t>
  </si>
  <si>
    <t>Tanya</t>
  </si>
  <si>
    <t>Problem Statement Question</t>
  </si>
  <si>
    <t>1. Top 5 Productive Employees:</t>
  </si>
  <si>
    <t>a.  Use the SORT and FILTER functions to display the top 5 employees with the highest productivity scores</t>
  </si>
  <si>
    <t>b.  Create a bar chart to visualize the results</t>
  </si>
  <si>
    <t>Normal Data</t>
  </si>
  <si>
    <t>Ans.    Sort and filter</t>
  </si>
  <si>
    <t>`</t>
  </si>
  <si>
    <t>Column1</t>
  </si>
  <si>
    <t>2.  Department-Wise Productivity Consistency</t>
  </si>
  <si>
    <r>
      <t xml:space="preserve"> Which department has the </t>
    </r>
    <r>
      <rPr>
        <b/>
        <sz val="18"/>
        <color theme="1"/>
        <rFont val="Aptos Narrow"/>
        <family val="2"/>
        <scheme val="minor"/>
      </rPr>
      <t>least variation</t>
    </r>
    <r>
      <rPr>
        <sz val="16"/>
        <color theme="1"/>
        <rFont val="Aptos Narrow"/>
        <family val="2"/>
        <scheme val="minor"/>
      </rPr>
      <t xml:space="preserve"> in employee productivity?</t>
    </r>
  </si>
  <si>
    <r>
      <t xml:space="preserve">Calculate the </t>
    </r>
    <r>
      <rPr>
        <b/>
        <sz val="18"/>
        <color theme="1"/>
        <rFont val="Aptos Narrow"/>
        <family val="2"/>
        <scheme val="minor"/>
      </rPr>
      <t xml:space="preserve">standard deviation </t>
    </r>
    <r>
      <rPr>
        <sz val="16"/>
        <color theme="1"/>
        <rFont val="Aptos Narrow"/>
        <family val="2"/>
        <scheme val="minor"/>
      </rPr>
      <t>of productivity scores within each department to assess consistency</t>
    </r>
  </si>
  <si>
    <r>
      <t xml:space="preserve">Use a PivotTable with the </t>
    </r>
    <r>
      <rPr>
        <b/>
        <sz val="16"/>
        <color theme="1"/>
        <rFont val="Aptos Narrow"/>
        <family val="2"/>
        <scheme val="minor"/>
      </rPr>
      <t xml:space="preserve">STDEV.P </t>
    </r>
    <r>
      <rPr>
        <sz val="16"/>
        <color theme="1"/>
        <rFont val="Aptos Narrow"/>
        <family val="2"/>
        <scheme val="minor"/>
      </rPr>
      <t>function grouped by Department</t>
    </r>
  </si>
  <si>
    <t>Row Labels</t>
  </si>
  <si>
    <t>StdDevp of Productivity_Score</t>
  </si>
  <si>
    <t>Ans. Marketing  department has the  least variation</t>
  </si>
  <si>
    <t>3.  Productivity Efficiency Index (PEI)</t>
  </si>
  <si>
    <t>new column</t>
  </si>
  <si>
    <t>PEI</t>
  </si>
  <si>
    <t>Rank</t>
  </si>
  <si>
    <t xml:space="preserve">a. </t>
  </si>
  <si>
    <t>Tasks_competed   and    Performance Rating</t>
  </si>
  <si>
    <t>Hours_Worked    and   Performance Rating</t>
  </si>
  <si>
    <t>Performance Rating</t>
  </si>
  <si>
    <t>Correlation values range from –1 to +1:</t>
  </si>
  <si>
    <r>
      <t>+1</t>
    </r>
    <r>
      <rPr>
        <sz val="16"/>
        <color theme="1"/>
        <rFont val="Aptos Narrow"/>
        <family val="2"/>
        <scheme val="minor"/>
      </rPr>
      <t xml:space="preserve"> = perfect positive relationship</t>
    </r>
  </si>
  <si>
    <r>
      <t>0</t>
    </r>
    <r>
      <rPr>
        <sz val="16"/>
        <color theme="1"/>
        <rFont val="Aptos Narrow"/>
        <family val="2"/>
        <scheme val="minor"/>
      </rPr>
      <t xml:space="preserve"> = no relationship</t>
    </r>
  </si>
  <si>
    <r>
      <t>–1</t>
    </r>
    <r>
      <rPr>
        <sz val="16"/>
        <color theme="1"/>
        <rFont val="Aptos Narrow"/>
        <family val="2"/>
        <scheme val="minor"/>
      </rPr>
      <t xml:space="preserve"> = perfect negative relationship</t>
    </r>
  </si>
  <si>
    <t>b.</t>
  </si>
  <si>
    <t>Avg.   Hours_worked</t>
  </si>
  <si>
    <t>Tasks_per_Hour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</si>
</sst>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24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0504D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3" borderId="9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0" fillId="0" borderId="0" xfId="0" pivotButton="1"/>
    <xf numFmtId="2" fontId="0" fillId="0" borderId="0" xfId="0" applyNumberFormat="1"/>
    <xf numFmtId="0" fontId="10" fillId="6" borderId="0" xfId="0" applyFont="1" applyFill="1" applyAlignment="1">
      <alignment horizontal="center"/>
    </xf>
    <xf numFmtId="0" fontId="9" fillId="0" borderId="0" xfId="0" applyFont="1"/>
    <xf numFmtId="0" fontId="12" fillId="9" borderId="0" xfId="0" applyFont="1" applyFill="1" applyAlignment="1">
      <alignment horizontal="center"/>
    </xf>
    <xf numFmtId="2" fontId="2" fillId="3" borderId="9" xfId="0" applyNumberFormat="1" applyFont="1" applyFill="1" applyBorder="1" applyAlignment="1">
      <alignment horizontal="center" wrapText="1"/>
    </xf>
    <xf numFmtId="0" fontId="0" fillId="0" borderId="10" xfId="0" applyBorder="1"/>
    <xf numFmtId="0" fontId="0" fillId="8" borderId="10" xfId="0" applyFill="1" applyBorder="1"/>
    <xf numFmtId="2" fontId="9" fillId="11" borderId="10" xfId="0" applyNumberFormat="1" applyFont="1" applyFill="1" applyBorder="1"/>
    <xf numFmtId="0" fontId="0" fillId="4" borderId="11" xfId="0" applyFill="1" applyBorder="1"/>
    <xf numFmtId="2" fontId="1" fillId="2" borderId="8" xfId="0" applyNumberFormat="1" applyFont="1" applyFill="1" applyBorder="1" applyAlignment="1">
      <alignment horizontal="center" wrapText="1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0" fontId="6" fillId="6" borderId="0" xfId="0" applyFont="1" applyFill="1" applyAlignment="1">
      <alignment horizontal="center"/>
    </xf>
    <xf numFmtId="0" fontId="5" fillId="6" borderId="0" xfId="0" applyFont="1" applyFill="1" applyAlignment="1">
      <alignment horizontal="left"/>
    </xf>
    <xf numFmtId="0" fontId="4" fillId="7" borderId="0" xfId="0" applyFont="1" applyFill="1" applyAlignment="1">
      <alignment horizontal="left"/>
    </xf>
    <xf numFmtId="0" fontId="6" fillId="0" borderId="0" xfId="0" applyFont="1" applyAlignment="1">
      <alignment horizontal="left"/>
    </xf>
    <xf numFmtId="0" fontId="0" fillId="0" borderId="0" xfId="0" applyAlignment="1">
      <alignment horizontal="left"/>
    </xf>
    <xf numFmtId="0" fontId="10" fillId="6" borderId="0" xfId="0" applyFont="1" applyFill="1" applyAlignment="1">
      <alignment horizontal="center"/>
    </xf>
    <xf numFmtId="0" fontId="11" fillId="8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7" fillId="10" borderId="0" xfId="0" applyFont="1" applyFill="1" applyAlignment="1">
      <alignment horizontal="center"/>
    </xf>
    <xf numFmtId="0" fontId="8" fillId="4" borderId="0" xfId="0" applyFont="1" applyFill="1" applyAlignment="1">
      <alignment horizontal="left"/>
    </xf>
    <xf numFmtId="0" fontId="13" fillId="4" borderId="11" xfId="0" applyFont="1" applyFill="1" applyBorder="1" applyAlignment="1">
      <alignment horizontal="center"/>
    </xf>
  </cellXfs>
  <cellStyles count="1">
    <cellStyle name="Normal" xfId="0" builtinId="0"/>
  </cellStyles>
  <dxfs count="6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fill>
        <patternFill patternType="solid">
          <fgColor indexed="64"/>
          <bgColor rgb="FFF2DCDB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2DCDB"/>
        </patternFill>
      </fill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2DCDB"/>
        </patternFill>
      </fill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2DCDB"/>
        </patternFill>
      </fill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2DCDB"/>
        </patternFill>
      </fill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2DCDB"/>
        </patternFill>
      </fill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2DCDB"/>
        </patternFill>
      </fill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2DCDB"/>
        </patternFill>
      </fill>
      <alignment horizontal="center" vertical="bottom" textRotation="0" wrapText="1" indent="0" justifyLastLine="0" shrinkToFit="0" readingOrder="0"/>
      <border diagonalUp="0" diagonalDown="0">
        <left/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000000"/>
        </lef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2DCDB"/>
        </patternFill>
      </fill>
      <alignment horizontal="center" vertical="bottom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C0504D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rgb="FFF2DCDB"/>
        </patternFill>
      </fill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fill>
        <patternFill patternType="solid">
          <fgColor indexed="64"/>
          <bgColor rgb="FFF2DCDB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2DCDB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2DCDB"/>
        </patternFill>
      </fill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2DCDB"/>
        </patternFill>
      </fill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2DCDB"/>
        </patternFill>
      </fill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2DCDB"/>
        </patternFill>
      </fill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2DCDB"/>
        </patternFill>
      </fill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2DCDB"/>
        </patternFill>
      </fill>
      <alignment horizontal="center" vertical="bottom" textRotation="0" wrapText="1" indent="0" justifyLastLine="0" shrinkToFit="0" readingOrder="0"/>
      <border diagonalUp="0" diagonalDown="0">
        <left/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000000"/>
        </lef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2DCDB"/>
        </patternFill>
      </fill>
      <alignment horizontal="center" vertical="bottom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C0504D"/>
        </patternFill>
      </fill>
      <alignment horizontal="center" vertical="bottom" textRotation="0" wrapText="1" indent="0" justifyLastLine="0" shrinkToFit="0" readingOrder="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2DCDB"/>
        </patternFill>
      </fill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2DCDB"/>
        </patternFill>
      </fill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2DCDB"/>
        </patternFill>
      </fill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2DCDB"/>
        </patternFill>
      </fill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2DCDB"/>
        </patternFill>
      </fill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2DCDB"/>
        </patternFill>
      </fill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2DCDB"/>
        </patternFill>
      </fill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2DCDB"/>
        </patternFill>
      </fill>
      <alignment horizontal="center" vertical="bottom" textRotation="0" wrapText="1" indent="0" justifyLastLine="0" shrinkToFit="0" readingOrder="0"/>
      <border diagonalUp="0" diagonalDown="0">
        <left/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000000"/>
        </lef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2DCDB"/>
        </patternFill>
      </fill>
      <alignment horizontal="center" vertical="bottom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C0504D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2DCDB"/>
        </patternFill>
      </fill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2DCDB"/>
        </patternFill>
      </fill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2DCDB"/>
        </patternFill>
      </fill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2DCDB"/>
        </patternFill>
      </fill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2DCDB"/>
        </patternFill>
      </fill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2DCDB"/>
        </patternFill>
      </fill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2DCDB"/>
        </patternFill>
      </fill>
      <alignment horizontal="center" vertical="bottom" textRotation="0" wrapText="1" indent="0" justifyLastLine="0" shrinkToFit="0" readingOrder="0"/>
      <border diagonalUp="0" diagonalDown="0">
        <left/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000000"/>
        </lef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2DCDB"/>
        </patternFill>
      </fill>
      <alignment horizontal="center" vertical="bottom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C0504D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2DCDB"/>
        </patternFill>
      </fill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2DCDB"/>
        </patternFill>
      </fill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2DCDB"/>
        </patternFill>
      </fill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2DCDB"/>
        </patternFill>
      </fill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2DCDB"/>
        </patternFill>
      </fill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2DCDB"/>
        </patternFill>
      </fill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2DCDB"/>
        </patternFill>
      </fill>
      <alignment horizontal="center" vertical="bottom" textRotation="0" wrapText="1" indent="0" justifyLastLine="0" shrinkToFit="0" readingOrder="0"/>
      <border diagonalUp="0" diagonalDown="0">
        <left/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000000"/>
        </lef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2DCDB"/>
        </patternFill>
      </fill>
      <alignment horizontal="center" vertical="bottom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C0504D"/>
        </patternFill>
      </fill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'Q1'!$N$9</c:f>
              <c:strCache>
                <c:ptCount val="1"/>
                <c:pt idx="0">
                  <c:v>Productivity_Score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'Q1'!$J$10:$J$14</c:f>
              <c:strCache>
                <c:ptCount val="5"/>
                <c:pt idx="0">
                  <c:v>Rahul</c:v>
                </c:pt>
                <c:pt idx="1">
                  <c:v>Tanya</c:v>
                </c:pt>
                <c:pt idx="2">
                  <c:v>Rakesh</c:v>
                </c:pt>
                <c:pt idx="3">
                  <c:v>Neeraj</c:v>
                </c:pt>
                <c:pt idx="4">
                  <c:v>Riya</c:v>
                </c:pt>
              </c:strCache>
            </c:strRef>
          </c:cat>
          <c:val>
            <c:numRef>
              <c:f>'Q1'!$N$10:$N$34</c:f>
              <c:numCache>
                <c:formatCode>General</c:formatCode>
                <c:ptCount val="5"/>
                <c:pt idx="0">
                  <c:v>100</c:v>
                </c:pt>
                <c:pt idx="1">
                  <c:v>99</c:v>
                </c:pt>
                <c:pt idx="2">
                  <c:v>98</c:v>
                </c:pt>
                <c:pt idx="3">
                  <c:v>96</c:v>
                </c:pt>
                <c:pt idx="4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81-44A0-8A69-87F267DAEC4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64979040"/>
        <c:axId val="46497952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'Q1'!$L$9</c15:sqref>
                        </c15:formulaRef>
                      </c:ext>
                    </c:extLst>
                    <c:strCache>
                      <c:ptCount val="1"/>
                      <c:pt idx="0">
                        <c:v>Hours_Worked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tint val="54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5">
                          <a:tint val="54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5">
                          <a:tint val="54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'Q1'!$J$10:$J$14</c15:sqref>
                        </c15:formulaRef>
                      </c:ext>
                    </c:extLst>
                    <c:strCache>
                      <c:ptCount val="5"/>
                      <c:pt idx="0">
                        <c:v>Rahul</c:v>
                      </c:pt>
                      <c:pt idx="1">
                        <c:v>Tanya</c:v>
                      </c:pt>
                      <c:pt idx="2">
                        <c:v>Rakesh</c:v>
                      </c:pt>
                      <c:pt idx="3">
                        <c:v>Neeraj</c:v>
                      </c:pt>
                      <c:pt idx="4">
                        <c:v>Riya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'Q1'!$L$10:$L$34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50</c:v>
                      </c:pt>
                      <c:pt idx="1">
                        <c:v>47</c:v>
                      </c:pt>
                      <c:pt idx="2">
                        <c:v>48</c:v>
                      </c:pt>
                      <c:pt idx="3">
                        <c:v>46</c:v>
                      </c:pt>
                      <c:pt idx="4">
                        <c:v>45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E681-44A0-8A69-87F267DAEC43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'Q1'!$M$9</c15:sqref>
                        </c15:formulaRef>
                      </c:ext>
                    </c:extLst>
                    <c:strCache>
                      <c:ptCount val="1"/>
                      <c:pt idx="0">
                        <c:v>Tasks_Completed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tint val="77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5">
                          <a:tint val="77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5">
                          <a:tint val="77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'Q1'!$J$10:$J$14</c15:sqref>
                        </c15:formulaRef>
                      </c:ext>
                    </c:extLst>
                    <c:strCache>
                      <c:ptCount val="5"/>
                      <c:pt idx="0">
                        <c:v>Rahul</c:v>
                      </c:pt>
                      <c:pt idx="1">
                        <c:v>Tanya</c:v>
                      </c:pt>
                      <c:pt idx="2">
                        <c:v>Rakesh</c:v>
                      </c:pt>
                      <c:pt idx="3">
                        <c:v>Neeraj</c:v>
                      </c:pt>
                      <c:pt idx="4">
                        <c:v>Riya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'Q1'!$M$10:$M$34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80</c:v>
                      </c:pt>
                      <c:pt idx="1">
                        <c:v>79</c:v>
                      </c:pt>
                      <c:pt idx="2">
                        <c:v>78</c:v>
                      </c:pt>
                      <c:pt idx="3">
                        <c:v>77</c:v>
                      </c:pt>
                      <c:pt idx="4">
                        <c:v>75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E681-44A0-8A69-87F267DAEC4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'Q1'!$O$9</c15:sqref>
                        </c15:formulaRef>
                      </c:ext>
                    </c:extLst>
                    <c:strCache>
                      <c:ptCount val="1"/>
                      <c:pt idx="0">
                        <c:v>Performance_Rating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shade val="76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5">
                          <a:shade val="76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5">
                          <a:shade val="76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'Q1'!$J$10:$J$14</c15:sqref>
                        </c15:formulaRef>
                      </c:ext>
                    </c:extLst>
                    <c:strCache>
                      <c:ptCount val="5"/>
                      <c:pt idx="0">
                        <c:v>Rahul</c:v>
                      </c:pt>
                      <c:pt idx="1">
                        <c:v>Tanya</c:v>
                      </c:pt>
                      <c:pt idx="2">
                        <c:v>Rakesh</c:v>
                      </c:pt>
                      <c:pt idx="3">
                        <c:v>Neeraj</c:v>
                      </c:pt>
                      <c:pt idx="4">
                        <c:v>Riya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'Q1'!$O$10:$O$34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5</c:v>
                      </c:pt>
                      <c:pt idx="1">
                        <c:v>5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681-44A0-8A69-87F267DAEC43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'Q1'!$P$9</c15:sqref>
                        </c15:formulaRef>
                      </c:ext>
                    </c:extLst>
                    <c:strCache>
                      <c:ptCount val="1"/>
                      <c:pt idx="0">
                        <c:v>Column1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shade val="53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5">
                          <a:shade val="53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5">
                          <a:shade val="53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'Q1'!$J$10:$J$14</c15:sqref>
                        </c15:formulaRef>
                      </c:ext>
                    </c:extLst>
                    <c:strCache>
                      <c:ptCount val="5"/>
                      <c:pt idx="0">
                        <c:v>Rahul</c:v>
                      </c:pt>
                      <c:pt idx="1">
                        <c:v>Tanya</c:v>
                      </c:pt>
                      <c:pt idx="2">
                        <c:v>Rakesh</c:v>
                      </c:pt>
                      <c:pt idx="3">
                        <c:v>Neeraj</c:v>
                      </c:pt>
                      <c:pt idx="4">
                        <c:v>Riya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'Q1'!$P$10:$P$34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681-44A0-8A69-87F267DAEC43}"/>
                  </c:ext>
                </c:extLst>
              </c15:ser>
            </c15:filteredBarSeries>
          </c:ext>
        </c:extLst>
      </c:barChart>
      <c:catAx>
        <c:axId val="464979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979520"/>
        <c:crosses val="autoZero"/>
        <c:auto val="1"/>
        <c:lblAlgn val="ctr"/>
        <c:lblOffset val="100"/>
        <c:noMultiLvlLbl val="0"/>
      </c:catAx>
      <c:valAx>
        <c:axId val="464979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979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Assignment 1.xlsx]Q2!PivotTable2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'Q2'!$B$8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'Q2'!$A$9:$A$13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'Q2'!$B$9:$B$13</c:f>
              <c:numCache>
                <c:formatCode>0.00</c:formatCode>
                <c:ptCount val="5"/>
                <c:pt idx="0">
                  <c:v>2.9580398915498081</c:v>
                </c:pt>
                <c:pt idx="1">
                  <c:v>3.54400902933387</c:v>
                </c:pt>
                <c:pt idx="2">
                  <c:v>4.7074409183759283</c:v>
                </c:pt>
                <c:pt idx="3">
                  <c:v>2</c:v>
                </c:pt>
                <c:pt idx="4">
                  <c:v>4.3748015828022293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B3-4323-8E8B-B25943B535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2821696"/>
        <c:axId val="592839456"/>
      </c:barChart>
      <c:catAx>
        <c:axId val="592821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839456"/>
        <c:crosses val="autoZero"/>
        <c:auto val="1"/>
        <c:lblAlgn val="ctr"/>
        <c:lblOffset val="100"/>
        <c:noMultiLvlLbl val="0"/>
      </c:catAx>
      <c:valAx>
        <c:axId val="59283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821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1852392623107542E-2"/>
          <c:y val="9.6544888133673193E-2"/>
          <c:w val="0.90276129391110882"/>
          <c:h val="0.829486639148866"/>
        </c:manualLayout>
      </c:layout>
      <c:scatterChart>
        <c:scatterStyle val="lineMarker"/>
        <c:varyColors val="0"/>
        <c:ser>
          <c:idx val="0"/>
          <c:order val="0"/>
          <c:tx>
            <c:strRef>
              <c:f>'Q6'!$F$15</c:f>
              <c:strCache>
                <c:ptCount val="1"/>
                <c:pt idx="0">
                  <c:v>Productivity_Score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'Q6'!$D$16:$D$40</c:f>
              <c:numCache>
                <c:formatCode>General</c:formatCode>
                <c:ptCount val="25"/>
                <c:pt idx="0">
                  <c:v>35</c:v>
                </c:pt>
                <c:pt idx="1">
                  <c:v>40</c:v>
                </c:pt>
                <c:pt idx="2">
                  <c:v>30</c:v>
                </c:pt>
                <c:pt idx="3">
                  <c:v>45</c:v>
                </c:pt>
                <c:pt idx="4">
                  <c:v>25</c:v>
                </c:pt>
                <c:pt idx="5">
                  <c:v>38</c:v>
                </c:pt>
                <c:pt idx="6">
                  <c:v>50</c:v>
                </c:pt>
                <c:pt idx="7">
                  <c:v>28</c:v>
                </c:pt>
                <c:pt idx="8">
                  <c:v>42</c:v>
                </c:pt>
                <c:pt idx="9">
                  <c:v>37</c:v>
                </c:pt>
                <c:pt idx="10">
                  <c:v>29</c:v>
                </c:pt>
                <c:pt idx="11">
                  <c:v>44</c:v>
                </c:pt>
                <c:pt idx="12">
                  <c:v>33</c:v>
                </c:pt>
                <c:pt idx="13">
                  <c:v>41</c:v>
                </c:pt>
                <c:pt idx="14">
                  <c:v>48</c:v>
                </c:pt>
                <c:pt idx="15">
                  <c:v>26</c:v>
                </c:pt>
                <c:pt idx="16">
                  <c:v>31</c:v>
                </c:pt>
                <c:pt idx="17">
                  <c:v>43</c:v>
                </c:pt>
                <c:pt idx="18">
                  <c:v>39</c:v>
                </c:pt>
                <c:pt idx="19">
                  <c:v>36</c:v>
                </c:pt>
                <c:pt idx="20">
                  <c:v>27</c:v>
                </c:pt>
                <c:pt idx="21">
                  <c:v>32</c:v>
                </c:pt>
                <c:pt idx="22">
                  <c:v>46</c:v>
                </c:pt>
                <c:pt idx="23">
                  <c:v>34</c:v>
                </c:pt>
                <c:pt idx="24">
                  <c:v>47</c:v>
                </c:pt>
              </c:numCache>
            </c:numRef>
          </c:xVal>
          <c:yVal>
            <c:numRef>
              <c:f>'Q6'!$F$16:$F$40</c:f>
              <c:numCache>
                <c:formatCode>General</c:formatCode>
                <c:ptCount val="25"/>
                <c:pt idx="0">
                  <c:v>80</c:v>
                </c:pt>
                <c:pt idx="1">
                  <c:v>90</c:v>
                </c:pt>
                <c:pt idx="2">
                  <c:v>70</c:v>
                </c:pt>
                <c:pt idx="3">
                  <c:v>95</c:v>
                </c:pt>
                <c:pt idx="4">
                  <c:v>60</c:v>
                </c:pt>
                <c:pt idx="5">
                  <c:v>85</c:v>
                </c:pt>
                <c:pt idx="6">
                  <c:v>100</c:v>
                </c:pt>
                <c:pt idx="7">
                  <c:v>65</c:v>
                </c:pt>
                <c:pt idx="8">
                  <c:v>92</c:v>
                </c:pt>
                <c:pt idx="9">
                  <c:v>83</c:v>
                </c:pt>
                <c:pt idx="10">
                  <c:v>68</c:v>
                </c:pt>
                <c:pt idx="11">
                  <c:v>94</c:v>
                </c:pt>
                <c:pt idx="12">
                  <c:v>75</c:v>
                </c:pt>
                <c:pt idx="13">
                  <c:v>89</c:v>
                </c:pt>
                <c:pt idx="14">
                  <c:v>98</c:v>
                </c:pt>
                <c:pt idx="15">
                  <c:v>62</c:v>
                </c:pt>
                <c:pt idx="16">
                  <c:v>72</c:v>
                </c:pt>
                <c:pt idx="17">
                  <c:v>93</c:v>
                </c:pt>
                <c:pt idx="18">
                  <c:v>87</c:v>
                </c:pt>
                <c:pt idx="19">
                  <c:v>78</c:v>
                </c:pt>
                <c:pt idx="20">
                  <c:v>64</c:v>
                </c:pt>
                <c:pt idx="21">
                  <c:v>74</c:v>
                </c:pt>
                <c:pt idx="22">
                  <c:v>96</c:v>
                </c:pt>
                <c:pt idx="23">
                  <c:v>76</c:v>
                </c:pt>
                <c:pt idx="24">
                  <c:v>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1D-4907-8219-FE381CF3C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1369504"/>
        <c:axId val="861369984"/>
      </c:scatterChart>
      <c:valAx>
        <c:axId val="861369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369984"/>
        <c:crosses val="autoZero"/>
        <c:crossBetween val="midCat"/>
      </c:valAx>
      <c:valAx>
        <c:axId val="86136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369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34</xdr:row>
      <xdr:rowOff>49530</xdr:rowOff>
    </xdr:from>
    <xdr:to>
      <xdr:col>12</xdr:col>
      <xdr:colOff>144780</xdr:colOff>
      <xdr:row>50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5A3E88-215A-4B50-F446-567A64DF23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22860</xdr:rowOff>
    </xdr:from>
    <xdr:to>
      <xdr:col>8</xdr:col>
      <xdr:colOff>601980</xdr:colOff>
      <xdr:row>33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BF10DE-55CF-55DA-485A-12FC5C0A9E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</xdr:colOff>
      <xdr:row>0</xdr:row>
      <xdr:rowOff>0</xdr:rowOff>
    </xdr:from>
    <xdr:to>
      <xdr:col>10</xdr:col>
      <xdr:colOff>660572</xdr:colOff>
      <xdr:row>12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D60EFB-325F-1A4E-7CCC-4384FD24D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" y="0"/>
          <a:ext cx="7701452" cy="2346960"/>
        </a:xfrm>
        <a:prstGeom prst="rect">
          <a:avLst/>
        </a:prstGeom>
      </xdr:spPr>
    </xdr:pic>
    <xdr:clientData/>
  </xdr:twoCellAnchor>
  <xdr:twoCellAnchor>
    <xdr:from>
      <xdr:col>6</xdr:col>
      <xdr:colOff>396240</xdr:colOff>
      <xdr:row>30</xdr:row>
      <xdr:rowOff>137160</xdr:rowOff>
    </xdr:from>
    <xdr:to>
      <xdr:col>11</xdr:col>
      <xdr:colOff>388620</xdr:colOff>
      <xdr:row>36</xdr:row>
      <xdr:rowOff>144780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051329D-C081-DC2A-6E86-7F9826C0098F}"/>
            </a:ext>
          </a:extLst>
        </xdr:cNvPr>
        <xdr:cNvSpPr txBox="1"/>
      </xdr:nvSpPr>
      <xdr:spPr>
        <a:xfrm>
          <a:off x="5013960" y="6316980"/>
          <a:ext cx="3992880" cy="1104900"/>
        </a:xfrm>
        <a:prstGeom prst="rect">
          <a:avLst/>
        </a:prstGeom>
        <a:solidFill>
          <a:srgbClr val="0070C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/>
            <a:t>Since </a:t>
          </a:r>
          <a:r>
            <a:rPr lang="en-IN" sz="1400" b="1"/>
            <a:t>0.96 &gt; 0.95</a:t>
          </a:r>
          <a:r>
            <a:rPr lang="en-IN" sz="1400"/>
            <a:t>,</a:t>
          </a:r>
        </a:p>
        <a:p>
          <a:endParaRPr lang="en-IN" sz="1400" b="1"/>
        </a:p>
        <a:p>
          <a:r>
            <a:rPr lang="en-IN" sz="1400" b="1"/>
            <a:t>Tasks_Completed has a slightly stronger influence on Performance Rating than Hours_Worked.</a:t>
          </a:r>
          <a:endParaRPr lang="en-IN" sz="1400"/>
        </a:p>
      </xdr:txBody>
    </xdr:sp>
    <xdr:clientData/>
  </xdr:twoCellAnchor>
  <xdr:twoCellAnchor>
    <xdr:from>
      <xdr:col>1</xdr:col>
      <xdr:colOff>0</xdr:colOff>
      <xdr:row>44</xdr:row>
      <xdr:rowOff>0</xdr:rowOff>
    </xdr:from>
    <xdr:to>
      <xdr:col>10</xdr:col>
      <xdr:colOff>281940</xdr:colOff>
      <xdr:row>64</xdr:row>
      <xdr:rowOff>106680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8B64795-CF9C-48E5-80C7-8AD0589832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617220</xdr:colOff>
      <xdr:row>46</xdr:row>
      <xdr:rowOff>68580</xdr:rowOff>
    </xdr:from>
    <xdr:to>
      <xdr:col>16</xdr:col>
      <xdr:colOff>129540</xdr:colOff>
      <xdr:row>53</xdr:row>
      <xdr:rowOff>99060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7817572-7FEA-E775-085B-D92F36ABA3FE}"/>
            </a:ext>
          </a:extLst>
        </xdr:cNvPr>
        <xdr:cNvSpPr txBox="1"/>
      </xdr:nvSpPr>
      <xdr:spPr>
        <a:xfrm>
          <a:off x="7673340" y="9418320"/>
          <a:ext cx="4991100" cy="1310640"/>
        </a:xfrm>
        <a:prstGeom prst="rect">
          <a:avLst/>
        </a:prstGeom>
        <a:solidFill>
          <a:srgbClr val="0070C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/>
            <a:t>There is a moderate to strong positive correlation between Hours_Worked and Productivity_Score because as hours increase, productivity increases, and most data points follow the upward trend with only slight deviation</a:t>
          </a:r>
          <a:r>
            <a:rPr lang="en-IN" sz="1600" b="1" baseline="0"/>
            <a:t> </a:t>
          </a:r>
        </a:p>
        <a:p>
          <a:endParaRPr lang="en-IN" sz="1600" b="1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8</xdr:col>
      <xdr:colOff>137161</xdr:colOff>
      <xdr:row>13</xdr:row>
      <xdr:rowOff>104452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BD77619-12F5-FB43-D8D6-AA1A38CAF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6758940" cy="2481892"/>
        </a:xfrm>
        <a:prstGeom prst="rect">
          <a:avLst/>
        </a:prstGeom>
      </xdr:spPr>
    </xdr:pic>
    <xdr:clientData/>
  </xdr:twoCellAnchor>
  <xdr:twoCellAnchor>
    <xdr:from>
      <xdr:col>3</xdr:col>
      <xdr:colOff>175260</xdr:colOff>
      <xdr:row>23</xdr:row>
      <xdr:rowOff>152400</xdr:rowOff>
    </xdr:from>
    <xdr:to>
      <xdr:col>8</xdr:col>
      <xdr:colOff>259080</xdr:colOff>
      <xdr:row>28</xdr:row>
      <xdr:rowOff>7620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6D503E0-46F3-8500-1822-272128FBB5CD}"/>
            </a:ext>
          </a:extLst>
        </xdr:cNvPr>
        <xdr:cNvSpPr txBox="1"/>
      </xdr:nvSpPr>
      <xdr:spPr>
        <a:xfrm>
          <a:off x="2164080" y="4373880"/>
          <a:ext cx="4716780" cy="769620"/>
        </a:xfrm>
        <a:prstGeom prst="rect">
          <a:avLst/>
        </a:prstGeom>
        <a:solidFill>
          <a:srgbClr val="0070C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/>
            <a:t>There are three employees</a:t>
          </a:r>
          <a:r>
            <a:rPr lang="en-IN" sz="1200" b="1" baseline="0"/>
            <a:t> in dataset whose Performance Rating&gt;= 4 and  Worked less than the average hours of all employees.</a:t>
          </a:r>
          <a:endParaRPr lang="en-IN" sz="1200" b="1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15240</xdr:rowOff>
    </xdr:from>
    <xdr:to>
      <xdr:col>6</xdr:col>
      <xdr:colOff>7620</xdr:colOff>
      <xdr:row>13</xdr:row>
      <xdr:rowOff>45180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8F22017-8043-0B1C-536F-A8A3C4E8B2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240"/>
          <a:ext cx="7772400" cy="2407380"/>
        </a:xfrm>
        <a:prstGeom prst="rect">
          <a:avLst/>
        </a:prstGeom>
      </xdr:spPr>
    </xdr:pic>
    <xdr:clientData/>
  </xdr:twoCellAnchor>
  <xdr:twoCellAnchor>
    <xdr:from>
      <xdr:col>2</xdr:col>
      <xdr:colOff>434340</xdr:colOff>
      <xdr:row>41</xdr:row>
      <xdr:rowOff>175260</xdr:rowOff>
    </xdr:from>
    <xdr:to>
      <xdr:col>8</xdr:col>
      <xdr:colOff>312420</xdr:colOff>
      <xdr:row>47</xdr:row>
      <xdr:rowOff>91440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2704C03-B184-DCFB-1217-AE3CB0756BD8}"/>
            </a:ext>
          </a:extLst>
        </xdr:cNvPr>
        <xdr:cNvSpPr txBox="1"/>
      </xdr:nvSpPr>
      <xdr:spPr>
        <a:xfrm>
          <a:off x="2407920" y="8046720"/>
          <a:ext cx="8900160" cy="1013460"/>
        </a:xfrm>
        <a:prstGeom prst="rect">
          <a:avLst/>
        </a:prstGeom>
        <a:solidFill>
          <a:srgbClr val="0070C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/>
            <a:t>Although I calculated Tasks per Hour efficiency, the differences were very small, indicating that all employees work at similar efficiency levels.</a:t>
          </a:r>
          <a:br>
            <a:rPr lang="en-IN" sz="1400"/>
          </a:br>
          <a:r>
            <a:rPr lang="en-IN" sz="1400"/>
            <a:t>Therefore, this metric alone is not strong enough to identify a clear top performer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mit" refreshedDate="45994.615068287036" createdVersion="8" refreshedVersion="8" minRefreshableVersion="3" recordCount="25" xr:uid="{284631D7-8020-485F-A2A2-FB029AA409CC}">
  <cacheSource type="worksheet">
    <worksheetSource name="empT"/>
  </cacheSource>
  <cacheFields count="7">
    <cacheField name="Employee_ID" numFmtId="0">
      <sharedItems containsSemiMixedTypes="0" containsString="0" containsNumber="1" containsInteger="1" minValue="101" maxValue="125"/>
    </cacheField>
    <cacheField name="Name" numFmtId="0">
      <sharedItems/>
    </cacheField>
    <cacheField name="Department" numFmtId="0">
      <sharedItems count="5">
        <s v="Sales"/>
        <s v="Marketing"/>
        <s v="HR"/>
        <s v="IT"/>
        <s v="Finance"/>
      </sharedItems>
    </cacheField>
    <cacheField name="Hours_Worked" numFmtId="0">
      <sharedItems containsSemiMixedTypes="0" containsString="0" containsNumber="1" containsInteger="1" minValue="25" maxValue="50"/>
    </cacheField>
    <cacheField name="Tasks_Completed" numFmtId="0">
      <sharedItems containsSemiMixedTypes="0" containsString="0" containsNumber="1" containsInteger="1" minValue="30" maxValue="80"/>
    </cacheField>
    <cacheField name="Productivity_Score" numFmtId="0">
      <sharedItems containsSemiMixedTypes="0" containsString="0" containsNumber="1" containsInteger="1" minValue="60" maxValue="100"/>
    </cacheField>
    <cacheField name="Performance_Rating" numFmtId="0">
      <sharedItems containsSemiMixedTypes="0" containsString="0" containsNumber="1" containsInteger="1" minValue="2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n v="101"/>
    <s v="Aakash"/>
    <x v="0"/>
    <n v="35"/>
    <n v="50"/>
    <n v="80"/>
    <n v="4"/>
  </r>
  <r>
    <n v="102"/>
    <s v="Meera"/>
    <x v="1"/>
    <n v="40"/>
    <n v="65"/>
    <n v="90"/>
    <n v="5"/>
  </r>
  <r>
    <n v="103"/>
    <s v="Suresh"/>
    <x v="2"/>
    <n v="30"/>
    <n v="40"/>
    <n v="70"/>
    <n v="3"/>
  </r>
  <r>
    <n v="104"/>
    <s v="Riya"/>
    <x v="3"/>
    <n v="45"/>
    <n v="75"/>
    <n v="95"/>
    <n v="5"/>
  </r>
  <r>
    <n v="105"/>
    <s v="Prakash"/>
    <x v="4"/>
    <n v="25"/>
    <n v="30"/>
    <n v="60"/>
    <n v="2"/>
  </r>
  <r>
    <n v="106"/>
    <s v="Neha"/>
    <x v="0"/>
    <n v="38"/>
    <n v="58"/>
    <n v="85"/>
    <n v="4"/>
  </r>
  <r>
    <n v="107"/>
    <s v="Rahul"/>
    <x v="3"/>
    <n v="50"/>
    <n v="80"/>
    <n v="100"/>
    <n v="5"/>
  </r>
  <r>
    <n v="108"/>
    <s v="Priya"/>
    <x v="2"/>
    <n v="28"/>
    <n v="35"/>
    <n v="65"/>
    <n v="3"/>
  </r>
  <r>
    <n v="109"/>
    <s v="Kunal"/>
    <x v="1"/>
    <n v="42"/>
    <n v="70"/>
    <n v="92"/>
    <n v="5"/>
  </r>
  <r>
    <n v="110"/>
    <s v="Sneha"/>
    <x v="0"/>
    <n v="37"/>
    <n v="55"/>
    <n v="83"/>
    <n v="4"/>
  </r>
  <r>
    <n v="111"/>
    <s v="Amit"/>
    <x v="4"/>
    <n v="29"/>
    <n v="38"/>
    <n v="68"/>
    <n v="3"/>
  </r>
  <r>
    <n v="112"/>
    <s v="Pooja"/>
    <x v="1"/>
    <n v="44"/>
    <n v="73"/>
    <n v="94"/>
    <n v="5"/>
  </r>
  <r>
    <n v="113"/>
    <s v="Varun"/>
    <x v="2"/>
    <n v="33"/>
    <n v="45"/>
    <n v="75"/>
    <n v="3"/>
  </r>
  <r>
    <n v="114"/>
    <s v="Deepak"/>
    <x v="0"/>
    <n v="41"/>
    <n v="66"/>
    <n v="89"/>
    <n v="4"/>
  </r>
  <r>
    <n v="115"/>
    <s v="Rakesh"/>
    <x v="3"/>
    <n v="48"/>
    <n v="78"/>
    <n v="98"/>
    <n v="5"/>
  </r>
  <r>
    <n v="116"/>
    <s v="Kavita"/>
    <x v="4"/>
    <n v="26"/>
    <n v="32"/>
    <n v="62"/>
    <n v="2"/>
  </r>
  <r>
    <n v="117"/>
    <s v="Sanjay"/>
    <x v="2"/>
    <n v="31"/>
    <n v="42"/>
    <n v="72"/>
    <n v="3"/>
  </r>
  <r>
    <n v="118"/>
    <s v="Arjun"/>
    <x v="1"/>
    <n v="43"/>
    <n v="75"/>
    <n v="93"/>
    <n v="5"/>
  </r>
  <r>
    <n v="119"/>
    <s v="Anjali"/>
    <x v="3"/>
    <n v="39"/>
    <n v="60"/>
    <n v="87"/>
    <n v="4"/>
  </r>
  <r>
    <n v="120"/>
    <s v="Suman"/>
    <x v="0"/>
    <n v="36"/>
    <n v="52"/>
    <n v="78"/>
    <n v="4"/>
  </r>
  <r>
    <n v="121"/>
    <s v="Mohan"/>
    <x v="4"/>
    <n v="27"/>
    <n v="34"/>
    <n v="64"/>
    <n v="2"/>
  </r>
  <r>
    <n v="122"/>
    <s v="Jyoti"/>
    <x v="2"/>
    <n v="32"/>
    <n v="44"/>
    <n v="74"/>
    <n v="3"/>
  </r>
  <r>
    <n v="123"/>
    <s v="Neeraj"/>
    <x v="1"/>
    <n v="46"/>
    <n v="77"/>
    <n v="96"/>
    <n v="5"/>
  </r>
  <r>
    <n v="124"/>
    <s v="Akash"/>
    <x v="0"/>
    <n v="34"/>
    <n v="48"/>
    <n v="76"/>
    <n v="3"/>
  </r>
  <r>
    <n v="125"/>
    <s v="Tanya"/>
    <x v="3"/>
    <n v="47"/>
    <n v="79"/>
    <n v="99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5BAE78-D894-4C79-9808-9EF005981AD6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0">
  <location ref="A8:B13" firstHeaderRow="1" firstDataRow="1" firstDataCol="1"/>
  <pivotFields count="7">
    <pivotField showAll="0" defaultSubtotal="0"/>
    <pivotField showAll="0" defaultSubtotal="0"/>
    <pivotField axis="axisRow" showAll="0" defaultSubtotal="0">
      <items count="5">
        <item x="4"/>
        <item x="2"/>
        <item x="3"/>
        <item x="1"/>
        <item x="0"/>
      </items>
    </pivotField>
    <pivotField showAll="0" defaultSubtotal="0"/>
    <pivotField showAll="0" defaultSubtotal="0"/>
    <pivotField dataField="1" showAll="0" defaultSubtotal="0"/>
    <pivotField showAll="0" defaultSubtotal="0"/>
  </pivotFields>
  <rowFields count="1">
    <field x="2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tdDevp of Productivity_Score" fld="5" subtotal="stdDevp" baseField="2" baseItem="0" numFmtId="2"/>
  </dataFields>
  <formats count="1">
    <format dxfId="27">
      <pivotArea outline="0" collapsedLevelsAreSubtotals="1" fieldPosition="0"/>
    </format>
  </formats>
  <chartFormats count="1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00E65B4-585D-4225-85FA-A3CAEA6053C6}" name="empT7" displayName="empT7" ref="A1:G26" totalsRowShown="0" headerRowDxfId="64" dataDxfId="62" headerRowBorderDxfId="63" tableBorderDxfId="61" totalsRowBorderDxfId="60">
  <autoFilter ref="A1:G26" xr:uid="{300E65B4-585D-4225-85FA-A3CAEA6053C6}"/>
  <tableColumns count="7">
    <tableColumn id="1" xr3:uid="{61E4E790-C383-46F2-A799-53608C33A028}" name="Employee_ID" dataDxfId="59"/>
    <tableColumn id="2" xr3:uid="{8F689CD8-0D82-4144-96B0-85A7EF891024}" name="Name" dataDxfId="58"/>
    <tableColumn id="3" xr3:uid="{A196F090-89A9-4463-BE1E-D4580704F7B1}" name="Department" dataDxfId="57"/>
    <tableColumn id="4" xr3:uid="{E96EEBE5-227E-43B7-8374-BE708E6D0834}" name="Hours_Worked" dataDxfId="56"/>
    <tableColumn id="5" xr3:uid="{913C9B7D-1306-4D3A-A7A5-5767F8A9F180}" name="Tasks_Completed" dataDxfId="55"/>
    <tableColumn id="6" xr3:uid="{5BAC888B-AFF1-431E-96E9-F290DC8949F4}" name="Productivity_Score" dataDxfId="54"/>
    <tableColumn id="7" xr3:uid="{A8353E18-B735-4D67-A2B5-A37EDF619A1F}" name="Performance_Rating" dataDxfId="5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E4CB45-5EF9-4DBA-9CEC-77FB85566DDB}" name="empT3" displayName="empT3" ref="A9:G34" totalsRowShown="0" headerRowDxfId="52" dataDxfId="50" headerRowBorderDxfId="51" tableBorderDxfId="49" totalsRowBorderDxfId="48">
  <autoFilter ref="A9:G34" xr:uid="{5BE4CB45-5EF9-4DBA-9CEC-77FB85566DDB}"/>
  <tableColumns count="7">
    <tableColumn id="1" xr3:uid="{507558F4-68AD-4D06-AAD8-69E1B0F487EC}" name="Employee_ID" dataDxfId="47"/>
    <tableColumn id="2" xr3:uid="{E17D3C58-A36A-4139-847A-CD1D18F94563}" name="Name" dataDxfId="46"/>
    <tableColumn id="3" xr3:uid="{EB58D68C-FB50-4A96-81D3-A2327EF32D62}" name="Department" dataDxfId="45"/>
    <tableColumn id="4" xr3:uid="{B442148C-74DE-4CD3-9C99-8A1C95D00B44}" name="Hours_Worked" dataDxfId="44"/>
    <tableColumn id="5" xr3:uid="{B6A05415-51AE-47AA-879A-757E0B7568E8}" name="Tasks_Completed" dataDxfId="43"/>
    <tableColumn id="6" xr3:uid="{7D1CD6FC-65EE-40EC-8DB9-9C24AC44616A}" name="Productivity_Score" dataDxfId="42"/>
    <tableColumn id="7" xr3:uid="{A684E33B-4058-4685-96AE-FBBE35FE1C05}" name="Performance_Rating" dataDxfId="4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4617840-6BF9-4126-AAF2-22FB24574E15}" name="empT34" displayName="empT34" ref="I9:P34" totalsRowShown="0" headerRowDxfId="40" dataDxfId="38" headerRowBorderDxfId="39" tableBorderDxfId="37" totalsRowBorderDxfId="36">
  <autoFilter ref="I9:P34" xr:uid="{54617840-6BF9-4126-AAF2-22FB24574E15}">
    <filterColumn colId="5">
      <top10 val="5" filterVal="95"/>
    </filterColumn>
  </autoFilter>
  <sortState xmlns:xlrd2="http://schemas.microsoft.com/office/spreadsheetml/2017/richdata2" ref="I10:O34">
    <sortCondition descending="1" ref="N9:N34"/>
  </sortState>
  <tableColumns count="8">
    <tableColumn id="1" xr3:uid="{599A03D2-F049-4CD6-96B4-E0E84E3EC11C}" name="Employee_ID" dataDxfId="35"/>
    <tableColumn id="2" xr3:uid="{F5CB8B6B-5098-4520-96C8-AFBBBE64B4D6}" name="Name" dataDxfId="34"/>
    <tableColumn id="3" xr3:uid="{E8393B79-3E4F-40EB-AF8F-681994B7958A}" name="Department" dataDxfId="33"/>
    <tableColumn id="4" xr3:uid="{8901BA27-7936-42AF-9D4C-799E548249FD}" name="Hours_Worked" dataDxfId="32"/>
    <tableColumn id="5" xr3:uid="{4EB1DE17-A28E-44A8-85E6-BE1ACDA01964}" name="Tasks_Completed" dataDxfId="31"/>
    <tableColumn id="6" xr3:uid="{4D820608-53DD-4DD0-98AE-0F9AACC152A4}" name="Productivity_Score" dataDxfId="30"/>
    <tableColumn id="7" xr3:uid="{B188F549-34BA-4E04-9050-ED876C291E8D}" name="Performance_Rating" dataDxfId="29"/>
    <tableColumn id="8" xr3:uid="{0AA9929F-0F14-449C-BEAE-656282DBC9B6}" name="Column1" dataDxfId="2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9679577-33CD-4706-975A-BED0EBFF09AD}" name="empT5" displayName="empT5" ref="A4:I29" totalsRowShown="0" headerRowDxfId="26" dataDxfId="24" headerRowBorderDxfId="25" tableBorderDxfId="23" totalsRowBorderDxfId="22">
  <autoFilter ref="A4:I29" xr:uid="{19679577-33CD-4706-975A-BED0EBFF09AD}">
    <filterColumn colId="8">
      <customFilters>
        <customFilter operator="lessThanOrEqual" val="3"/>
      </customFilters>
    </filterColumn>
  </autoFilter>
  <sortState xmlns:xlrd2="http://schemas.microsoft.com/office/spreadsheetml/2017/richdata2" ref="A5:I29">
    <sortCondition ref="I4:I29"/>
  </sortState>
  <tableColumns count="9">
    <tableColumn id="1" xr3:uid="{02C4F183-8948-454B-9EF4-AED204FFB109}" name="Employee_ID" dataDxfId="21"/>
    <tableColumn id="2" xr3:uid="{228C4161-949C-489B-87C3-3997AEF51696}" name="Name" dataDxfId="20"/>
    <tableColumn id="3" xr3:uid="{F8E99A43-0AA1-4B65-8CA4-2135C8A697C1}" name="Department" dataDxfId="19"/>
    <tableColumn id="4" xr3:uid="{5E555901-DB55-4B36-80CA-7A6C22DE778F}" name="Hours_Worked" dataDxfId="18"/>
    <tableColumn id="5" xr3:uid="{CBC95F91-54DC-45D2-B358-32900F519EAB}" name="Tasks_Completed" dataDxfId="17"/>
    <tableColumn id="6" xr3:uid="{E824C1D1-016A-4C37-8FC8-7557D0E47241}" name="Productivity_Score" dataDxfId="16"/>
    <tableColumn id="7" xr3:uid="{1B13D2CA-33E5-4C3C-965D-647D0B6D7B53}" name="Performance_Rating" dataDxfId="15"/>
    <tableColumn id="8" xr3:uid="{E44530B9-270D-4459-837E-E14225878C3D}" name="PEI" dataDxfId="14">
      <calculatedColumnFormula>(empT5[[#This Row],[Productivity_Score]] *empT5[[#This Row],[Performance_Rating]])/empT5[[#This Row],[Hours_Worked]]</calculatedColumnFormula>
    </tableColumn>
    <tableColumn id="9" xr3:uid="{0DD41D16-ADF9-4BCB-AEF3-B131CA053B55}" name="Rank" dataDxfId="13">
      <calculatedColumnFormula>RANK(empT5[[#This Row],[PEI]],empT5[PEI],)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35FE64-1C59-40E4-803F-F0B52270DCA2}" name="empT" displayName="empT" ref="A15:H40" totalsRowShown="0" headerRowDxfId="12" dataDxfId="10" headerRowBorderDxfId="11" tableBorderDxfId="9" totalsRowBorderDxfId="8">
  <autoFilter ref="A15:H40" xr:uid="{FD35FE64-1C59-40E4-803F-F0B52270DCA2}"/>
  <tableColumns count="8">
    <tableColumn id="1" xr3:uid="{4E3B3626-E5C1-4AEC-B465-67FFE7D39F0F}" name="Employee_ID" dataDxfId="7"/>
    <tableColumn id="2" xr3:uid="{438AE156-C72B-43DA-8D96-BDAE583FB593}" name="Name" dataDxfId="6"/>
    <tableColumn id="3" xr3:uid="{7EC2285A-CCEA-415A-B753-B63769267D9E}" name="Department" dataDxfId="5"/>
    <tableColumn id="4" xr3:uid="{4A5BC2A6-3060-42AB-8F36-AEC17C7E3380}" name="Hours_Worked" dataDxfId="4"/>
    <tableColumn id="5" xr3:uid="{21F0E464-F675-49B3-9419-F63152CBAF05}" name="Tasks_Completed" dataDxfId="3"/>
    <tableColumn id="6" xr3:uid="{FFFD5A46-C657-420F-AE33-9948E91866BE}" name="Productivity_Score" dataDxfId="2"/>
    <tableColumn id="7" xr3:uid="{CA49976F-6B20-4D39-ABF9-FB577AF2AFBC}" name="Performance_Rating" dataDxfId="1"/>
    <tableColumn id="8" xr3:uid="{CD330BB4-0EAA-4F46-8535-19C1CFB2C31A}" name="Tasks_per_Hour" dataDxfId="0">
      <calculatedColumnFormula>empT[[#This Row],[Tasks_Completed]]/empT[[#This Row],[Hours_Worked]]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602AD-A75C-47FD-BA24-49D3811FB31D}">
  <dimension ref="A1:G26"/>
  <sheetViews>
    <sheetView workbookViewId="0">
      <selection activeCell="I21" sqref="I21"/>
    </sheetView>
  </sheetViews>
  <sheetFormatPr defaultRowHeight="14.4" x14ac:dyDescent="0.3"/>
  <cols>
    <col min="1" max="1" width="14" customWidth="1"/>
    <col min="2" max="2" width="7.88671875" customWidth="1"/>
    <col min="3" max="3" width="13" customWidth="1"/>
    <col min="4" max="4" width="28.109375" customWidth="1"/>
    <col min="5" max="5" width="28.21875" customWidth="1"/>
    <col min="6" max="6" width="31.44140625" customWidth="1"/>
    <col min="7" max="7" width="36" customWidth="1"/>
  </cols>
  <sheetData>
    <row r="1" spans="1:7" ht="16.8" customHeight="1" thickBot="1" x14ac:dyDescent="0.3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</row>
    <row r="2" spans="1:7" ht="15" thickBot="1" x14ac:dyDescent="0.35">
      <c r="A2" s="3">
        <v>101</v>
      </c>
      <c r="B2" s="1" t="s">
        <v>7</v>
      </c>
      <c r="C2" s="1" t="s">
        <v>8</v>
      </c>
      <c r="D2" s="1">
        <v>35</v>
      </c>
      <c r="E2" s="1">
        <v>50</v>
      </c>
      <c r="F2" s="1">
        <v>80</v>
      </c>
      <c r="G2" s="1">
        <v>4</v>
      </c>
    </row>
    <row r="3" spans="1:7" ht="15" thickBot="1" x14ac:dyDescent="0.35">
      <c r="A3" s="4">
        <v>102</v>
      </c>
      <c r="B3" s="2" t="s">
        <v>9</v>
      </c>
      <c r="C3" s="2" t="s">
        <v>10</v>
      </c>
      <c r="D3" s="2">
        <v>40</v>
      </c>
      <c r="E3" s="2">
        <v>65</v>
      </c>
      <c r="F3" s="2">
        <v>90</v>
      </c>
      <c r="G3" s="2">
        <v>5</v>
      </c>
    </row>
    <row r="4" spans="1:7" ht="15" thickBot="1" x14ac:dyDescent="0.35">
      <c r="A4" s="3">
        <v>103</v>
      </c>
      <c r="B4" s="1" t="s">
        <v>11</v>
      </c>
      <c r="C4" s="1" t="s">
        <v>12</v>
      </c>
      <c r="D4" s="1">
        <v>30</v>
      </c>
      <c r="E4" s="1">
        <v>40</v>
      </c>
      <c r="F4" s="1">
        <v>70</v>
      </c>
      <c r="G4" s="1">
        <v>3</v>
      </c>
    </row>
    <row r="5" spans="1:7" ht="15" thickBot="1" x14ac:dyDescent="0.35">
      <c r="A5" s="4">
        <v>104</v>
      </c>
      <c r="B5" s="2" t="s">
        <v>13</v>
      </c>
      <c r="C5" s="2" t="s">
        <v>14</v>
      </c>
      <c r="D5" s="2">
        <v>45</v>
      </c>
      <c r="E5" s="2">
        <v>75</v>
      </c>
      <c r="F5" s="2">
        <v>95</v>
      </c>
      <c r="G5" s="2">
        <v>5</v>
      </c>
    </row>
    <row r="6" spans="1:7" ht="15" thickBot="1" x14ac:dyDescent="0.35">
      <c r="A6" s="3">
        <v>105</v>
      </c>
      <c r="B6" s="1" t="s">
        <v>15</v>
      </c>
      <c r="C6" s="1" t="s">
        <v>16</v>
      </c>
      <c r="D6" s="1">
        <v>25</v>
      </c>
      <c r="E6" s="1">
        <v>30</v>
      </c>
      <c r="F6" s="1">
        <v>60</v>
      </c>
      <c r="G6" s="1">
        <v>2</v>
      </c>
    </row>
    <row r="7" spans="1:7" ht="15" thickBot="1" x14ac:dyDescent="0.35">
      <c r="A7" s="4">
        <v>106</v>
      </c>
      <c r="B7" s="2" t="s">
        <v>17</v>
      </c>
      <c r="C7" s="2" t="s">
        <v>8</v>
      </c>
      <c r="D7" s="2">
        <v>38</v>
      </c>
      <c r="E7" s="2">
        <v>58</v>
      </c>
      <c r="F7" s="2">
        <v>85</v>
      </c>
      <c r="G7" s="2">
        <v>4</v>
      </c>
    </row>
    <row r="8" spans="1:7" ht="15" thickBot="1" x14ac:dyDescent="0.35">
      <c r="A8" s="3">
        <v>107</v>
      </c>
      <c r="B8" s="1" t="s">
        <v>18</v>
      </c>
      <c r="C8" s="1" t="s">
        <v>14</v>
      </c>
      <c r="D8" s="1">
        <v>50</v>
      </c>
      <c r="E8" s="1">
        <v>80</v>
      </c>
      <c r="F8" s="1">
        <v>100</v>
      </c>
      <c r="G8" s="1">
        <v>5</v>
      </c>
    </row>
    <row r="9" spans="1:7" ht="15" thickBot="1" x14ac:dyDescent="0.35">
      <c r="A9" s="4">
        <v>108</v>
      </c>
      <c r="B9" s="2" t="s">
        <v>19</v>
      </c>
      <c r="C9" s="2" t="s">
        <v>12</v>
      </c>
      <c r="D9" s="2">
        <v>28</v>
      </c>
      <c r="E9" s="2">
        <v>35</v>
      </c>
      <c r="F9" s="2">
        <v>65</v>
      </c>
      <c r="G9" s="2">
        <v>3</v>
      </c>
    </row>
    <row r="10" spans="1:7" ht="15" thickBot="1" x14ac:dyDescent="0.35">
      <c r="A10" s="3">
        <v>109</v>
      </c>
      <c r="B10" s="1" t="s">
        <v>20</v>
      </c>
      <c r="C10" s="1" t="s">
        <v>10</v>
      </c>
      <c r="D10" s="1">
        <v>42</v>
      </c>
      <c r="E10" s="1">
        <v>70</v>
      </c>
      <c r="F10" s="1">
        <v>92</v>
      </c>
      <c r="G10" s="1">
        <v>5</v>
      </c>
    </row>
    <row r="11" spans="1:7" ht="15" thickBot="1" x14ac:dyDescent="0.35">
      <c r="A11" s="4">
        <v>110</v>
      </c>
      <c r="B11" s="2" t="s">
        <v>21</v>
      </c>
      <c r="C11" s="2" t="s">
        <v>8</v>
      </c>
      <c r="D11" s="2">
        <v>37</v>
      </c>
      <c r="E11" s="2">
        <v>55</v>
      </c>
      <c r="F11" s="2">
        <v>83</v>
      </c>
      <c r="G11" s="2">
        <v>4</v>
      </c>
    </row>
    <row r="12" spans="1:7" ht="15" thickBot="1" x14ac:dyDescent="0.35">
      <c r="A12" s="3">
        <v>111</v>
      </c>
      <c r="B12" s="1" t="s">
        <v>22</v>
      </c>
      <c r="C12" s="1" t="s">
        <v>16</v>
      </c>
      <c r="D12" s="1">
        <v>29</v>
      </c>
      <c r="E12" s="1">
        <v>38</v>
      </c>
      <c r="F12" s="1">
        <v>68</v>
      </c>
      <c r="G12" s="1">
        <v>3</v>
      </c>
    </row>
    <row r="13" spans="1:7" ht="15" thickBot="1" x14ac:dyDescent="0.35">
      <c r="A13" s="4">
        <v>112</v>
      </c>
      <c r="B13" s="2" t="s">
        <v>23</v>
      </c>
      <c r="C13" s="2" t="s">
        <v>10</v>
      </c>
      <c r="D13" s="2">
        <v>44</v>
      </c>
      <c r="E13" s="2">
        <v>73</v>
      </c>
      <c r="F13" s="2">
        <v>94</v>
      </c>
      <c r="G13" s="2">
        <v>5</v>
      </c>
    </row>
    <row r="14" spans="1:7" ht="15" thickBot="1" x14ac:dyDescent="0.35">
      <c r="A14" s="3">
        <v>113</v>
      </c>
      <c r="B14" s="1" t="s">
        <v>24</v>
      </c>
      <c r="C14" s="1" t="s">
        <v>12</v>
      </c>
      <c r="D14" s="1">
        <v>33</v>
      </c>
      <c r="E14" s="1">
        <v>45</v>
      </c>
      <c r="F14" s="1">
        <v>75</v>
      </c>
      <c r="G14" s="1">
        <v>3</v>
      </c>
    </row>
    <row r="15" spans="1:7" ht="15" thickBot="1" x14ac:dyDescent="0.35">
      <c r="A15" s="4">
        <v>114</v>
      </c>
      <c r="B15" s="2" t="s">
        <v>25</v>
      </c>
      <c r="C15" s="2" t="s">
        <v>8</v>
      </c>
      <c r="D15" s="2">
        <v>41</v>
      </c>
      <c r="E15" s="2">
        <v>66</v>
      </c>
      <c r="F15" s="2">
        <v>89</v>
      </c>
      <c r="G15" s="2">
        <v>4</v>
      </c>
    </row>
    <row r="16" spans="1:7" ht="15" thickBot="1" x14ac:dyDescent="0.35">
      <c r="A16" s="3">
        <v>115</v>
      </c>
      <c r="B16" s="1" t="s">
        <v>26</v>
      </c>
      <c r="C16" s="1" t="s">
        <v>14</v>
      </c>
      <c r="D16" s="1">
        <v>48</v>
      </c>
      <c r="E16" s="1">
        <v>78</v>
      </c>
      <c r="F16" s="1">
        <v>98</v>
      </c>
      <c r="G16" s="1">
        <v>5</v>
      </c>
    </row>
    <row r="17" spans="1:7" ht="15" thickBot="1" x14ac:dyDescent="0.35">
      <c r="A17" s="4">
        <v>116</v>
      </c>
      <c r="B17" s="2" t="s">
        <v>27</v>
      </c>
      <c r="C17" s="2" t="s">
        <v>16</v>
      </c>
      <c r="D17" s="2">
        <v>26</v>
      </c>
      <c r="E17" s="2">
        <v>32</v>
      </c>
      <c r="F17" s="2">
        <v>62</v>
      </c>
      <c r="G17" s="2">
        <v>2</v>
      </c>
    </row>
    <row r="18" spans="1:7" ht="15" thickBot="1" x14ac:dyDescent="0.35">
      <c r="A18" s="3">
        <v>117</v>
      </c>
      <c r="B18" s="1" t="s">
        <v>28</v>
      </c>
      <c r="C18" s="1" t="s">
        <v>12</v>
      </c>
      <c r="D18" s="1">
        <v>31</v>
      </c>
      <c r="E18" s="1">
        <v>42</v>
      </c>
      <c r="F18" s="1">
        <v>72</v>
      </c>
      <c r="G18" s="1">
        <v>3</v>
      </c>
    </row>
    <row r="19" spans="1:7" ht="15" thickBot="1" x14ac:dyDescent="0.35">
      <c r="A19" s="4">
        <v>118</v>
      </c>
      <c r="B19" s="2" t="s">
        <v>29</v>
      </c>
      <c r="C19" s="2" t="s">
        <v>10</v>
      </c>
      <c r="D19" s="2">
        <v>43</v>
      </c>
      <c r="E19" s="2">
        <v>75</v>
      </c>
      <c r="F19" s="2">
        <v>93</v>
      </c>
      <c r="G19" s="2">
        <v>5</v>
      </c>
    </row>
    <row r="20" spans="1:7" ht="15" thickBot="1" x14ac:dyDescent="0.35">
      <c r="A20" s="3">
        <v>119</v>
      </c>
      <c r="B20" s="1" t="s">
        <v>30</v>
      </c>
      <c r="C20" s="1" t="s">
        <v>14</v>
      </c>
      <c r="D20" s="1">
        <v>39</v>
      </c>
      <c r="E20" s="1">
        <v>60</v>
      </c>
      <c r="F20" s="1">
        <v>87</v>
      </c>
      <c r="G20" s="1">
        <v>4</v>
      </c>
    </row>
    <row r="21" spans="1:7" ht="15" thickBot="1" x14ac:dyDescent="0.35">
      <c r="A21" s="4">
        <v>120</v>
      </c>
      <c r="B21" s="2" t="s">
        <v>31</v>
      </c>
      <c r="C21" s="2" t="s">
        <v>8</v>
      </c>
      <c r="D21" s="2">
        <v>36</v>
      </c>
      <c r="E21" s="2">
        <v>52</v>
      </c>
      <c r="F21" s="2">
        <v>78</v>
      </c>
      <c r="G21" s="2">
        <v>4</v>
      </c>
    </row>
    <row r="22" spans="1:7" ht="15" thickBot="1" x14ac:dyDescent="0.35">
      <c r="A22" s="3">
        <v>121</v>
      </c>
      <c r="B22" s="1" t="s">
        <v>32</v>
      </c>
      <c r="C22" s="1" t="s">
        <v>16</v>
      </c>
      <c r="D22" s="1">
        <v>27</v>
      </c>
      <c r="E22" s="1">
        <v>34</v>
      </c>
      <c r="F22" s="1">
        <v>64</v>
      </c>
      <c r="G22" s="1">
        <v>2</v>
      </c>
    </row>
    <row r="23" spans="1:7" ht="15" thickBot="1" x14ac:dyDescent="0.35">
      <c r="A23" s="4">
        <v>122</v>
      </c>
      <c r="B23" s="2" t="s">
        <v>33</v>
      </c>
      <c r="C23" s="2" t="s">
        <v>12</v>
      </c>
      <c r="D23" s="2">
        <v>32</v>
      </c>
      <c r="E23" s="2">
        <v>44</v>
      </c>
      <c r="F23" s="2">
        <v>74</v>
      </c>
      <c r="G23" s="2">
        <v>3</v>
      </c>
    </row>
    <row r="24" spans="1:7" ht="15" thickBot="1" x14ac:dyDescent="0.35">
      <c r="A24" s="3">
        <v>123</v>
      </c>
      <c r="B24" s="1" t="s">
        <v>34</v>
      </c>
      <c r="C24" s="1" t="s">
        <v>10</v>
      </c>
      <c r="D24" s="1">
        <v>46</v>
      </c>
      <c r="E24" s="1">
        <v>77</v>
      </c>
      <c r="F24" s="1">
        <v>96</v>
      </c>
      <c r="G24" s="1">
        <v>5</v>
      </c>
    </row>
    <row r="25" spans="1:7" ht="15" thickBot="1" x14ac:dyDescent="0.35">
      <c r="A25" s="4">
        <v>124</v>
      </c>
      <c r="B25" s="2" t="s">
        <v>35</v>
      </c>
      <c r="C25" s="2" t="s">
        <v>8</v>
      </c>
      <c r="D25" s="2">
        <v>34</v>
      </c>
      <c r="E25" s="2">
        <v>48</v>
      </c>
      <c r="F25" s="2">
        <v>76</v>
      </c>
      <c r="G25" s="2">
        <v>3</v>
      </c>
    </row>
    <row r="26" spans="1:7" x14ac:dyDescent="0.3">
      <c r="A26" s="8">
        <v>125</v>
      </c>
      <c r="B26" s="9" t="s">
        <v>36</v>
      </c>
      <c r="C26" s="9" t="s">
        <v>14</v>
      </c>
      <c r="D26" s="9">
        <v>47</v>
      </c>
      <c r="E26" s="9">
        <v>79</v>
      </c>
      <c r="F26" s="9">
        <v>99</v>
      </c>
      <c r="G26" s="9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59F36-254E-44A5-B7FB-30EFD8FF9176}">
  <dimension ref="A1:P34"/>
  <sheetViews>
    <sheetView workbookViewId="0">
      <selection activeCell="M41" sqref="M41"/>
    </sheetView>
  </sheetViews>
  <sheetFormatPr defaultRowHeight="14.4" x14ac:dyDescent="0.3"/>
  <cols>
    <col min="1" max="1" width="12.77734375" bestFit="1" customWidth="1"/>
    <col min="2" max="2" width="10.44140625" bestFit="1" customWidth="1"/>
    <col min="3" max="3" width="12.77734375" bestFit="1" customWidth="1"/>
    <col min="4" max="4" width="15.77734375" customWidth="1"/>
    <col min="5" max="5" width="16" customWidth="1"/>
    <col min="6" max="6" width="19.109375" customWidth="1"/>
    <col min="7" max="7" width="22.88671875" bestFit="1" customWidth="1"/>
    <col min="9" max="15" width="23.109375" customWidth="1"/>
  </cols>
  <sheetData>
    <row r="1" spans="1:16" ht="31.2" x14ac:dyDescent="0.3">
      <c r="A1" s="25" t="s">
        <v>37</v>
      </c>
      <c r="B1" s="25"/>
      <c r="C1" s="25"/>
      <c r="D1" s="25"/>
      <c r="E1" s="25"/>
      <c r="F1" s="25"/>
      <c r="G1" s="25"/>
      <c r="H1" s="10"/>
      <c r="I1" s="10"/>
    </row>
    <row r="4" spans="1:16" ht="31.2" x14ac:dyDescent="0.6">
      <c r="A4" s="26" t="s">
        <v>38</v>
      </c>
      <c r="B4" s="26"/>
      <c r="C4" s="26"/>
      <c r="D4" s="26"/>
      <c r="E4" s="26"/>
      <c r="F4" s="26"/>
      <c r="G4" s="26"/>
    </row>
    <row r="5" spans="1:16" ht="23.4" x14ac:dyDescent="0.45">
      <c r="A5" s="27" t="s">
        <v>39</v>
      </c>
      <c r="B5" s="27"/>
      <c r="C5" s="27"/>
      <c r="D5" s="27"/>
      <c r="E5" s="27"/>
      <c r="F5" s="27"/>
      <c r="G5" s="27"/>
      <c r="H5" s="27"/>
      <c r="I5" s="27"/>
      <c r="J5" s="27"/>
    </row>
    <row r="6" spans="1:16" ht="23.4" x14ac:dyDescent="0.45">
      <c r="A6" s="27" t="s">
        <v>40</v>
      </c>
      <c r="B6" s="27"/>
      <c r="C6" s="27"/>
      <c r="D6" s="27"/>
      <c r="E6" s="27"/>
      <c r="F6" s="27"/>
      <c r="G6" s="27"/>
    </row>
    <row r="8" spans="1:16" ht="23.4" x14ac:dyDescent="0.45">
      <c r="C8" s="28" t="s">
        <v>41</v>
      </c>
      <c r="D8" s="28"/>
      <c r="I8" s="29" t="s">
        <v>42</v>
      </c>
      <c r="J8" s="29"/>
    </row>
    <row r="9" spans="1:16" ht="15" thickBot="1" x14ac:dyDescent="0.35">
      <c r="A9" s="5" t="s">
        <v>0</v>
      </c>
      <c r="B9" s="6" t="s">
        <v>1</v>
      </c>
      <c r="C9" s="6" t="s">
        <v>2</v>
      </c>
      <c r="D9" s="6" t="s">
        <v>3</v>
      </c>
      <c r="E9" s="6" t="s">
        <v>4</v>
      </c>
      <c r="F9" s="6" t="s">
        <v>5</v>
      </c>
      <c r="G9" s="7" t="s">
        <v>6</v>
      </c>
      <c r="I9" s="5" t="s">
        <v>0</v>
      </c>
      <c r="J9" s="6" t="s">
        <v>1</v>
      </c>
      <c r="K9" s="6" t="s">
        <v>2</v>
      </c>
      <c r="L9" s="6" t="s">
        <v>3</v>
      </c>
      <c r="M9" s="6" t="s">
        <v>4</v>
      </c>
      <c r="N9" s="6" t="s">
        <v>5</v>
      </c>
      <c r="O9" s="7" t="s">
        <v>6</v>
      </c>
      <c r="P9" s="13" t="s">
        <v>44</v>
      </c>
    </row>
    <row r="10" spans="1:16" ht="15" thickBot="1" x14ac:dyDescent="0.35">
      <c r="A10" s="3">
        <v>101</v>
      </c>
      <c r="B10" s="1" t="s">
        <v>7</v>
      </c>
      <c r="C10" s="1" t="s">
        <v>8</v>
      </c>
      <c r="D10" s="1">
        <v>35</v>
      </c>
      <c r="E10" s="1">
        <v>50</v>
      </c>
      <c r="F10" s="1">
        <v>80</v>
      </c>
      <c r="G10" s="1">
        <v>4</v>
      </c>
      <c r="I10" s="3">
        <v>107</v>
      </c>
      <c r="J10" s="1" t="s">
        <v>18</v>
      </c>
      <c r="K10" s="1" t="s">
        <v>14</v>
      </c>
      <c r="L10" s="1">
        <v>50</v>
      </c>
      <c r="M10" s="1">
        <v>80</v>
      </c>
      <c r="N10" s="1">
        <v>100</v>
      </c>
      <c r="O10" s="1">
        <v>5</v>
      </c>
      <c r="P10" s="12"/>
    </row>
    <row r="11" spans="1:16" ht="15" thickBot="1" x14ac:dyDescent="0.35">
      <c r="A11" s="4">
        <v>102</v>
      </c>
      <c r="B11" s="2" t="s">
        <v>9</v>
      </c>
      <c r="C11" s="2" t="s">
        <v>10</v>
      </c>
      <c r="D11" s="2">
        <v>40</v>
      </c>
      <c r="E11" s="2">
        <v>65</v>
      </c>
      <c r="F11" s="2">
        <v>90</v>
      </c>
      <c r="G11" s="2">
        <v>5</v>
      </c>
      <c r="I11" s="3">
        <v>125</v>
      </c>
      <c r="J11" s="1" t="s">
        <v>36</v>
      </c>
      <c r="K11" s="1" t="s">
        <v>14</v>
      </c>
      <c r="L11" s="1">
        <v>47</v>
      </c>
      <c r="M11" s="1">
        <v>79</v>
      </c>
      <c r="N11" s="1">
        <v>99</v>
      </c>
      <c r="O11" s="1">
        <v>5</v>
      </c>
      <c r="P11" s="12"/>
    </row>
    <row r="12" spans="1:16" ht="15" thickBot="1" x14ac:dyDescent="0.35">
      <c r="A12" s="3">
        <v>103</v>
      </c>
      <c r="B12" s="1" t="s">
        <v>11</v>
      </c>
      <c r="C12" s="1" t="s">
        <v>12</v>
      </c>
      <c r="D12" s="1">
        <v>30</v>
      </c>
      <c r="E12" s="1">
        <v>40</v>
      </c>
      <c r="F12" s="1">
        <v>70</v>
      </c>
      <c r="G12" s="1">
        <v>3</v>
      </c>
      <c r="I12" s="3">
        <v>115</v>
      </c>
      <c r="J12" s="1" t="s">
        <v>26</v>
      </c>
      <c r="K12" s="1" t="s">
        <v>14</v>
      </c>
      <c r="L12" s="1">
        <v>48</v>
      </c>
      <c r="M12" s="1">
        <v>78</v>
      </c>
      <c r="N12" s="1">
        <v>98</v>
      </c>
      <c r="O12" s="1">
        <v>5</v>
      </c>
      <c r="P12" s="12"/>
    </row>
    <row r="13" spans="1:16" ht="15" thickBot="1" x14ac:dyDescent="0.35">
      <c r="A13" s="4">
        <v>104</v>
      </c>
      <c r="B13" s="2" t="s">
        <v>13</v>
      </c>
      <c r="C13" s="2" t="s">
        <v>14</v>
      </c>
      <c r="D13" s="2">
        <v>45</v>
      </c>
      <c r="E13" s="2">
        <v>75</v>
      </c>
      <c r="F13" s="2">
        <v>95</v>
      </c>
      <c r="G13" s="2">
        <v>5</v>
      </c>
      <c r="I13" s="3">
        <v>123</v>
      </c>
      <c r="J13" s="1" t="s">
        <v>34</v>
      </c>
      <c r="K13" s="1" t="s">
        <v>10</v>
      </c>
      <c r="L13" s="1">
        <v>46</v>
      </c>
      <c r="M13" s="1">
        <v>77</v>
      </c>
      <c r="N13" s="1">
        <v>96</v>
      </c>
      <c r="O13" s="1">
        <v>5</v>
      </c>
      <c r="P13" s="12"/>
    </row>
    <row r="14" spans="1:16" ht="15" thickBot="1" x14ac:dyDescent="0.35">
      <c r="A14" s="3">
        <v>105</v>
      </c>
      <c r="B14" s="1" t="s">
        <v>15</v>
      </c>
      <c r="C14" s="1" t="s">
        <v>16</v>
      </c>
      <c r="D14" s="1">
        <v>25</v>
      </c>
      <c r="E14" s="1">
        <v>30</v>
      </c>
      <c r="F14" s="1">
        <v>60</v>
      </c>
      <c r="G14" s="1">
        <v>2</v>
      </c>
      <c r="I14" s="4">
        <v>104</v>
      </c>
      <c r="J14" s="2" t="s">
        <v>13</v>
      </c>
      <c r="K14" s="2" t="s">
        <v>14</v>
      </c>
      <c r="L14" s="2">
        <v>45</v>
      </c>
      <c r="M14" s="2">
        <v>75</v>
      </c>
      <c r="N14" s="2">
        <v>95</v>
      </c>
      <c r="O14" s="2">
        <v>5</v>
      </c>
      <c r="P14" s="12" t="s">
        <v>43</v>
      </c>
    </row>
    <row r="15" spans="1:16" ht="15" hidden="1" thickBot="1" x14ac:dyDescent="0.35">
      <c r="A15" s="4">
        <v>106</v>
      </c>
      <c r="B15" s="2" t="s">
        <v>17</v>
      </c>
      <c r="C15" s="2" t="s">
        <v>8</v>
      </c>
      <c r="D15" s="2">
        <v>38</v>
      </c>
      <c r="E15" s="2">
        <v>58</v>
      </c>
      <c r="F15" s="2">
        <v>85</v>
      </c>
      <c r="G15" s="2">
        <v>4</v>
      </c>
      <c r="I15" s="4">
        <v>112</v>
      </c>
      <c r="J15" s="2" t="s">
        <v>23</v>
      </c>
      <c r="K15" s="2" t="s">
        <v>10</v>
      </c>
      <c r="L15" s="2">
        <v>44</v>
      </c>
      <c r="M15" s="2">
        <v>73</v>
      </c>
      <c r="N15" s="2">
        <v>94</v>
      </c>
      <c r="O15" s="2">
        <v>5</v>
      </c>
      <c r="P15" s="12"/>
    </row>
    <row r="16" spans="1:16" ht="15" hidden="1" thickBot="1" x14ac:dyDescent="0.35">
      <c r="A16" s="3">
        <v>107</v>
      </c>
      <c r="B16" s="1" t="s">
        <v>18</v>
      </c>
      <c r="C16" s="1" t="s">
        <v>14</v>
      </c>
      <c r="D16" s="1">
        <v>50</v>
      </c>
      <c r="E16" s="1">
        <v>80</v>
      </c>
      <c r="F16" s="1">
        <v>100</v>
      </c>
      <c r="G16" s="1">
        <v>5</v>
      </c>
      <c r="I16" s="4">
        <v>118</v>
      </c>
      <c r="J16" s="2" t="s">
        <v>29</v>
      </c>
      <c r="K16" s="2" t="s">
        <v>10</v>
      </c>
      <c r="L16" s="2">
        <v>43</v>
      </c>
      <c r="M16" s="2">
        <v>75</v>
      </c>
      <c r="N16" s="2">
        <v>93</v>
      </c>
      <c r="O16" s="2">
        <v>5</v>
      </c>
      <c r="P16" s="12"/>
    </row>
    <row r="17" spans="1:16" ht="15" hidden="1" thickBot="1" x14ac:dyDescent="0.35">
      <c r="A17" s="4">
        <v>108</v>
      </c>
      <c r="B17" s="2" t="s">
        <v>19</v>
      </c>
      <c r="C17" s="2" t="s">
        <v>12</v>
      </c>
      <c r="D17" s="2">
        <v>28</v>
      </c>
      <c r="E17" s="2">
        <v>35</v>
      </c>
      <c r="F17" s="2">
        <v>65</v>
      </c>
      <c r="G17" s="2">
        <v>3</v>
      </c>
      <c r="I17" s="3">
        <v>109</v>
      </c>
      <c r="J17" s="1" t="s">
        <v>20</v>
      </c>
      <c r="K17" s="1" t="s">
        <v>10</v>
      </c>
      <c r="L17" s="1">
        <v>42</v>
      </c>
      <c r="M17" s="1">
        <v>70</v>
      </c>
      <c r="N17" s="1">
        <v>92</v>
      </c>
      <c r="O17" s="1">
        <v>5</v>
      </c>
      <c r="P17" s="12"/>
    </row>
    <row r="18" spans="1:16" ht="15" hidden="1" thickBot="1" x14ac:dyDescent="0.35">
      <c r="A18" s="3">
        <v>109</v>
      </c>
      <c r="B18" s="1" t="s">
        <v>20</v>
      </c>
      <c r="C18" s="1" t="s">
        <v>10</v>
      </c>
      <c r="D18" s="1">
        <v>42</v>
      </c>
      <c r="E18" s="1">
        <v>70</v>
      </c>
      <c r="F18" s="1">
        <v>92</v>
      </c>
      <c r="G18" s="1">
        <v>5</v>
      </c>
      <c r="I18" s="4">
        <v>102</v>
      </c>
      <c r="J18" s="2" t="s">
        <v>9</v>
      </c>
      <c r="K18" s="2" t="s">
        <v>10</v>
      </c>
      <c r="L18" s="2">
        <v>40</v>
      </c>
      <c r="M18" s="2">
        <v>65</v>
      </c>
      <c r="N18" s="2">
        <v>90</v>
      </c>
      <c r="O18" s="2">
        <v>5</v>
      </c>
      <c r="P18" s="12"/>
    </row>
    <row r="19" spans="1:16" ht="15" hidden="1" thickBot="1" x14ac:dyDescent="0.35">
      <c r="A19" s="4">
        <v>110</v>
      </c>
      <c r="B19" s="2" t="s">
        <v>21</v>
      </c>
      <c r="C19" s="2" t="s">
        <v>8</v>
      </c>
      <c r="D19" s="2">
        <v>37</v>
      </c>
      <c r="E19" s="2">
        <v>55</v>
      </c>
      <c r="F19" s="2">
        <v>83</v>
      </c>
      <c r="G19" s="2">
        <v>4</v>
      </c>
      <c r="I19" s="4">
        <v>114</v>
      </c>
      <c r="J19" s="2" t="s">
        <v>25</v>
      </c>
      <c r="K19" s="2" t="s">
        <v>8</v>
      </c>
      <c r="L19" s="2">
        <v>41</v>
      </c>
      <c r="M19" s="2">
        <v>66</v>
      </c>
      <c r="N19" s="2">
        <v>89</v>
      </c>
      <c r="O19" s="2">
        <v>4</v>
      </c>
      <c r="P19" s="12"/>
    </row>
    <row r="20" spans="1:16" ht="15" hidden="1" thickBot="1" x14ac:dyDescent="0.35">
      <c r="A20" s="3">
        <v>111</v>
      </c>
      <c r="B20" s="1" t="s">
        <v>22</v>
      </c>
      <c r="C20" s="1" t="s">
        <v>16</v>
      </c>
      <c r="D20" s="1">
        <v>29</v>
      </c>
      <c r="E20" s="1">
        <v>38</v>
      </c>
      <c r="F20" s="1">
        <v>68</v>
      </c>
      <c r="G20" s="1">
        <v>3</v>
      </c>
      <c r="I20" s="3">
        <v>119</v>
      </c>
      <c r="J20" s="1" t="s">
        <v>30</v>
      </c>
      <c r="K20" s="1" t="s">
        <v>14</v>
      </c>
      <c r="L20" s="1">
        <v>39</v>
      </c>
      <c r="M20" s="1">
        <v>60</v>
      </c>
      <c r="N20" s="1">
        <v>87</v>
      </c>
      <c r="O20" s="1">
        <v>4</v>
      </c>
      <c r="P20" s="12"/>
    </row>
    <row r="21" spans="1:16" ht="15" hidden="1" thickBot="1" x14ac:dyDescent="0.35">
      <c r="A21" s="4">
        <v>112</v>
      </c>
      <c r="B21" s="2" t="s">
        <v>23</v>
      </c>
      <c r="C21" s="2" t="s">
        <v>10</v>
      </c>
      <c r="D21" s="2">
        <v>44</v>
      </c>
      <c r="E21" s="2">
        <v>73</v>
      </c>
      <c r="F21" s="2">
        <v>94</v>
      </c>
      <c r="G21" s="2">
        <v>5</v>
      </c>
      <c r="I21" s="4">
        <v>106</v>
      </c>
      <c r="J21" s="2" t="s">
        <v>17</v>
      </c>
      <c r="K21" s="2" t="s">
        <v>8</v>
      </c>
      <c r="L21" s="2">
        <v>38</v>
      </c>
      <c r="M21" s="2">
        <v>58</v>
      </c>
      <c r="N21" s="2">
        <v>85</v>
      </c>
      <c r="O21" s="2">
        <v>4</v>
      </c>
      <c r="P21" s="12"/>
    </row>
    <row r="22" spans="1:16" ht="15" hidden="1" thickBot="1" x14ac:dyDescent="0.35">
      <c r="A22" s="3">
        <v>113</v>
      </c>
      <c r="B22" s="1" t="s">
        <v>24</v>
      </c>
      <c r="C22" s="1" t="s">
        <v>12</v>
      </c>
      <c r="D22" s="1">
        <v>33</v>
      </c>
      <c r="E22" s="1">
        <v>45</v>
      </c>
      <c r="F22" s="1">
        <v>75</v>
      </c>
      <c r="G22" s="1">
        <v>3</v>
      </c>
      <c r="I22" s="4">
        <v>110</v>
      </c>
      <c r="J22" s="2" t="s">
        <v>21</v>
      </c>
      <c r="K22" s="2" t="s">
        <v>8</v>
      </c>
      <c r="L22" s="2">
        <v>37</v>
      </c>
      <c r="M22" s="2">
        <v>55</v>
      </c>
      <c r="N22" s="2">
        <v>83</v>
      </c>
      <c r="O22" s="2">
        <v>4</v>
      </c>
      <c r="P22" s="12"/>
    </row>
    <row r="23" spans="1:16" ht="15" hidden="1" thickBot="1" x14ac:dyDescent="0.35">
      <c r="A23" s="4">
        <v>114</v>
      </c>
      <c r="B23" s="2" t="s">
        <v>25</v>
      </c>
      <c r="C23" s="2" t="s">
        <v>8</v>
      </c>
      <c r="D23" s="2">
        <v>41</v>
      </c>
      <c r="E23" s="2">
        <v>66</v>
      </c>
      <c r="F23" s="2">
        <v>89</v>
      </c>
      <c r="G23" s="2">
        <v>4</v>
      </c>
      <c r="I23" s="3">
        <v>101</v>
      </c>
      <c r="J23" s="1" t="s">
        <v>7</v>
      </c>
      <c r="K23" s="1" t="s">
        <v>8</v>
      </c>
      <c r="L23" s="1">
        <v>35</v>
      </c>
      <c r="M23" s="1">
        <v>50</v>
      </c>
      <c r="N23" s="1">
        <v>80</v>
      </c>
      <c r="O23" s="1">
        <v>4</v>
      </c>
      <c r="P23" s="12"/>
    </row>
    <row r="24" spans="1:16" ht="15" hidden="1" thickBot="1" x14ac:dyDescent="0.35">
      <c r="A24" s="3">
        <v>115</v>
      </c>
      <c r="B24" s="1" t="s">
        <v>26</v>
      </c>
      <c r="C24" s="1" t="s">
        <v>14</v>
      </c>
      <c r="D24" s="1">
        <v>48</v>
      </c>
      <c r="E24" s="1">
        <v>78</v>
      </c>
      <c r="F24" s="1">
        <v>98</v>
      </c>
      <c r="G24" s="1">
        <v>5</v>
      </c>
      <c r="I24" s="4">
        <v>120</v>
      </c>
      <c r="J24" s="2" t="s">
        <v>31</v>
      </c>
      <c r="K24" s="2" t="s">
        <v>8</v>
      </c>
      <c r="L24" s="2">
        <v>36</v>
      </c>
      <c r="M24" s="2">
        <v>52</v>
      </c>
      <c r="N24" s="2">
        <v>78</v>
      </c>
      <c r="O24" s="2">
        <v>4</v>
      </c>
      <c r="P24" s="12"/>
    </row>
    <row r="25" spans="1:16" ht="15" hidden="1" thickBot="1" x14ac:dyDescent="0.35">
      <c r="A25" s="4">
        <v>116</v>
      </c>
      <c r="B25" s="2" t="s">
        <v>27</v>
      </c>
      <c r="C25" s="2" t="s">
        <v>16</v>
      </c>
      <c r="D25" s="2">
        <v>26</v>
      </c>
      <c r="E25" s="2">
        <v>32</v>
      </c>
      <c r="F25" s="2">
        <v>62</v>
      </c>
      <c r="G25" s="2">
        <v>2</v>
      </c>
      <c r="I25" s="4">
        <v>124</v>
      </c>
      <c r="J25" s="2" t="s">
        <v>35</v>
      </c>
      <c r="K25" s="2" t="s">
        <v>8</v>
      </c>
      <c r="L25" s="2">
        <v>34</v>
      </c>
      <c r="M25" s="2">
        <v>48</v>
      </c>
      <c r="N25" s="2">
        <v>76</v>
      </c>
      <c r="O25" s="2">
        <v>3</v>
      </c>
      <c r="P25" s="12"/>
    </row>
    <row r="26" spans="1:16" ht="15" hidden="1" thickBot="1" x14ac:dyDescent="0.35">
      <c r="A26" s="3">
        <v>117</v>
      </c>
      <c r="B26" s="1" t="s">
        <v>28</v>
      </c>
      <c r="C26" s="1" t="s">
        <v>12</v>
      </c>
      <c r="D26" s="1">
        <v>31</v>
      </c>
      <c r="E26" s="1">
        <v>42</v>
      </c>
      <c r="F26" s="1">
        <v>72</v>
      </c>
      <c r="G26" s="1">
        <v>3</v>
      </c>
      <c r="I26" s="3">
        <v>113</v>
      </c>
      <c r="J26" s="1" t="s">
        <v>24</v>
      </c>
      <c r="K26" s="1" t="s">
        <v>12</v>
      </c>
      <c r="L26" s="1">
        <v>33</v>
      </c>
      <c r="M26" s="1">
        <v>45</v>
      </c>
      <c r="N26" s="1">
        <v>75</v>
      </c>
      <c r="O26" s="1">
        <v>3</v>
      </c>
      <c r="P26" s="12"/>
    </row>
    <row r="27" spans="1:16" ht="15" hidden="1" thickBot="1" x14ac:dyDescent="0.35">
      <c r="A27" s="4">
        <v>118</v>
      </c>
      <c r="B27" s="2" t="s">
        <v>29</v>
      </c>
      <c r="C27" s="2" t="s">
        <v>10</v>
      </c>
      <c r="D27" s="2">
        <v>43</v>
      </c>
      <c r="E27" s="2">
        <v>75</v>
      </c>
      <c r="F27" s="2">
        <v>93</v>
      </c>
      <c r="G27" s="2">
        <v>5</v>
      </c>
      <c r="I27" s="4">
        <v>122</v>
      </c>
      <c r="J27" s="2" t="s">
        <v>33</v>
      </c>
      <c r="K27" s="2" t="s">
        <v>12</v>
      </c>
      <c r="L27" s="2">
        <v>32</v>
      </c>
      <c r="M27" s="2">
        <v>44</v>
      </c>
      <c r="N27" s="2">
        <v>74</v>
      </c>
      <c r="O27" s="2">
        <v>3</v>
      </c>
      <c r="P27" s="12"/>
    </row>
    <row r="28" spans="1:16" ht="15" hidden="1" thickBot="1" x14ac:dyDescent="0.35">
      <c r="A28" s="3">
        <v>119</v>
      </c>
      <c r="B28" s="1" t="s">
        <v>30</v>
      </c>
      <c r="C28" s="1" t="s">
        <v>14</v>
      </c>
      <c r="D28" s="1">
        <v>39</v>
      </c>
      <c r="E28" s="1">
        <v>60</v>
      </c>
      <c r="F28" s="1">
        <v>87</v>
      </c>
      <c r="G28" s="1">
        <v>4</v>
      </c>
      <c r="I28" s="3">
        <v>117</v>
      </c>
      <c r="J28" s="1" t="s">
        <v>28</v>
      </c>
      <c r="K28" s="1" t="s">
        <v>12</v>
      </c>
      <c r="L28" s="1">
        <v>31</v>
      </c>
      <c r="M28" s="1">
        <v>42</v>
      </c>
      <c r="N28" s="1">
        <v>72</v>
      </c>
      <c r="O28" s="1">
        <v>3</v>
      </c>
      <c r="P28" s="12"/>
    </row>
    <row r="29" spans="1:16" ht="15" hidden="1" thickBot="1" x14ac:dyDescent="0.35">
      <c r="A29" s="4">
        <v>120</v>
      </c>
      <c r="B29" s="2" t="s">
        <v>31</v>
      </c>
      <c r="C29" s="2" t="s">
        <v>8</v>
      </c>
      <c r="D29" s="2">
        <v>36</v>
      </c>
      <c r="E29" s="2">
        <v>52</v>
      </c>
      <c r="F29" s="2">
        <v>78</v>
      </c>
      <c r="G29" s="2">
        <v>4</v>
      </c>
      <c r="I29" s="3">
        <v>103</v>
      </c>
      <c r="J29" s="1" t="s">
        <v>11</v>
      </c>
      <c r="K29" s="1" t="s">
        <v>12</v>
      </c>
      <c r="L29" s="1">
        <v>30</v>
      </c>
      <c r="M29" s="1">
        <v>40</v>
      </c>
      <c r="N29" s="1">
        <v>70</v>
      </c>
      <c r="O29" s="1">
        <v>3</v>
      </c>
      <c r="P29" s="12"/>
    </row>
    <row r="30" spans="1:16" ht="15" hidden="1" thickBot="1" x14ac:dyDescent="0.35">
      <c r="A30" s="3">
        <v>121</v>
      </c>
      <c r="B30" s="1" t="s">
        <v>32</v>
      </c>
      <c r="C30" s="1" t="s">
        <v>16</v>
      </c>
      <c r="D30" s="1">
        <v>27</v>
      </c>
      <c r="E30" s="1">
        <v>34</v>
      </c>
      <c r="F30" s="1">
        <v>64</v>
      </c>
      <c r="G30" s="1">
        <v>2</v>
      </c>
      <c r="I30" s="3">
        <v>111</v>
      </c>
      <c r="J30" s="1" t="s">
        <v>22</v>
      </c>
      <c r="K30" s="1" t="s">
        <v>16</v>
      </c>
      <c r="L30" s="1">
        <v>29</v>
      </c>
      <c r="M30" s="1">
        <v>38</v>
      </c>
      <c r="N30" s="1">
        <v>68</v>
      </c>
      <c r="O30" s="1">
        <v>3</v>
      </c>
      <c r="P30" s="12"/>
    </row>
    <row r="31" spans="1:16" ht="15" hidden="1" thickBot="1" x14ac:dyDescent="0.35">
      <c r="A31" s="4">
        <v>122</v>
      </c>
      <c r="B31" s="2" t="s">
        <v>33</v>
      </c>
      <c r="C31" s="2" t="s">
        <v>12</v>
      </c>
      <c r="D31" s="2">
        <v>32</v>
      </c>
      <c r="E31" s="2">
        <v>44</v>
      </c>
      <c r="F31" s="2">
        <v>74</v>
      </c>
      <c r="G31" s="2">
        <v>3</v>
      </c>
      <c r="I31" s="4">
        <v>108</v>
      </c>
      <c r="J31" s="2" t="s">
        <v>19</v>
      </c>
      <c r="K31" s="2" t="s">
        <v>12</v>
      </c>
      <c r="L31" s="2">
        <v>28</v>
      </c>
      <c r="M31" s="2">
        <v>35</v>
      </c>
      <c r="N31" s="2">
        <v>65</v>
      </c>
      <c r="O31" s="2">
        <v>3</v>
      </c>
      <c r="P31" s="12"/>
    </row>
    <row r="32" spans="1:16" ht="15" hidden="1" thickBot="1" x14ac:dyDescent="0.35">
      <c r="A32" s="3">
        <v>123</v>
      </c>
      <c r="B32" s="1" t="s">
        <v>34</v>
      </c>
      <c r="C32" s="1" t="s">
        <v>10</v>
      </c>
      <c r="D32" s="1">
        <v>46</v>
      </c>
      <c r="E32" s="1">
        <v>77</v>
      </c>
      <c r="F32" s="1">
        <v>96</v>
      </c>
      <c r="G32" s="1">
        <v>5</v>
      </c>
      <c r="I32" s="3">
        <v>121</v>
      </c>
      <c r="J32" s="1" t="s">
        <v>32</v>
      </c>
      <c r="K32" s="1" t="s">
        <v>16</v>
      </c>
      <c r="L32" s="1">
        <v>27</v>
      </c>
      <c r="M32" s="1">
        <v>34</v>
      </c>
      <c r="N32" s="1">
        <v>64</v>
      </c>
      <c r="O32" s="1">
        <v>2</v>
      </c>
      <c r="P32" s="12"/>
    </row>
    <row r="33" spans="1:16" ht="15" hidden="1" thickBot="1" x14ac:dyDescent="0.35">
      <c r="A33" s="4">
        <v>124</v>
      </c>
      <c r="B33" s="2" t="s">
        <v>35</v>
      </c>
      <c r="C33" s="2" t="s">
        <v>8</v>
      </c>
      <c r="D33" s="2">
        <v>34</v>
      </c>
      <c r="E33" s="2">
        <v>48</v>
      </c>
      <c r="F33" s="2">
        <v>76</v>
      </c>
      <c r="G33" s="2">
        <v>3</v>
      </c>
      <c r="I33" s="4">
        <v>116</v>
      </c>
      <c r="J33" s="2" t="s">
        <v>27</v>
      </c>
      <c r="K33" s="2" t="s">
        <v>16</v>
      </c>
      <c r="L33" s="2">
        <v>26</v>
      </c>
      <c r="M33" s="2">
        <v>32</v>
      </c>
      <c r="N33" s="2">
        <v>62</v>
      </c>
      <c r="O33" s="2">
        <v>2</v>
      </c>
      <c r="P33" s="12"/>
    </row>
    <row r="34" spans="1:16" hidden="1" x14ac:dyDescent="0.3">
      <c r="A34" s="8">
        <v>125</v>
      </c>
      <c r="B34" s="9" t="s">
        <v>36</v>
      </c>
      <c r="C34" s="9" t="s">
        <v>14</v>
      </c>
      <c r="D34" s="9">
        <v>47</v>
      </c>
      <c r="E34" s="9">
        <v>79</v>
      </c>
      <c r="F34" s="9">
        <v>99</v>
      </c>
      <c r="G34" s="9">
        <v>5</v>
      </c>
      <c r="I34" s="8">
        <v>105</v>
      </c>
      <c r="J34" s="9" t="s">
        <v>15</v>
      </c>
      <c r="K34" s="9" t="s">
        <v>16</v>
      </c>
      <c r="L34" s="9">
        <v>25</v>
      </c>
      <c r="M34" s="9">
        <v>30</v>
      </c>
      <c r="N34" s="9">
        <v>60</v>
      </c>
      <c r="O34" s="9">
        <v>2</v>
      </c>
      <c r="P34" s="12"/>
    </row>
  </sheetData>
  <mergeCells count="6">
    <mergeCell ref="A1:G1"/>
    <mergeCell ref="A4:G4"/>
    <mergeCell ref="A5:J5"/>
    <mergeCell ref="A6:G6"/>
    <mergeCell ref="C8:D8"/>
    <mergeCell ref="I8:J8"/>
  </mergeCells>
  <pageMargins left="0.7" right="0.7" top="0.75" bottom="0.75" header="0.3" footer="0.3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5F153-889B-45EE-9D19-FEDEDB3A2CE4}">
  <dimension ref="A1:O37"/>
  <sheetViews>
    <sheetView workbookViewId="0">
      <selection activeCell="B38" sqref="B38"/>
    </sheetView>
  </sheetViews>
  <sheetFormatPr defaultRowHeight="14.4" x14ac:dyDescent="0.3"/>
  <cols>
    <col min="1" max="1" width="12.44140625" bestFit="1" customWidth="1"/>
    <col min="2" max="2" width="26.44140625" bestFit="1" customWidth="1"/>
    <col min="13" max="13" width="20" customWidth="1"/>
  </cols>
  <sheetData>
    <row r="1" spans="1:15" ht="28.8" x14ac:dyDescent="0.55000000000000004">
      <c r="A1" s="30" t="s">
        <v>45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</row>
    <row r="3" spans="1:15" ht="23.4" x14ac:dyDescent="0.45">
      <c r="A3" s="31" t="s">
        <v>47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</row>
    <row r="4" spans="1:15" ht="23.4" x14ac:dyDescent="0.45">
      <c r="A4" s="31" t="s">
        <v>46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</row>
    <row r="5" spans="1:15" ht="21" x14ac:dyDescent="0.4">
      <c r="A5" s="31" t="s">
        <v>48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</row>
    <row r="8" spans="1:15" x14ac:dyDescent="0.3">
      <c r="A8" s="14" t="s">
        <v>49</v>
      </c>
      <c r="B8" t="s">
        <v>50</v>
      </c>
    </row>
    <row r="9" spans="1:15" x14ac:dyDescent="0.3">
      <c r="A9" s="11" t="s">
        <v>16</v>
      </c>
      <c r="B9" s="15">
        <v>2.9580398915498081</v>
      </c>
    </row>
    <row r="10" spans="1:15" x14ac:dyDescent="0.3">
      <c r="A10" s="11" t="s">
        <v>12</v>
      </c>
      <c r="B10" s="15">
        <v>3.54400902933387</v>
      </c>
    </row>
    <row r="11" spans="1:15" x14ac:dyDescent="0.3">
      <c r="A11" s="11" t="s">
        <v>14</v>
      </c>
      <c r="B11" s="15">
        <v>4.7074409183759283</v>
      </c>
    </row>
    <row r="12" spans="1:15" x14ac:dyDescent="0.3">
      <c r="A12" s="11" t="s">
        <v>10</v>
      </c>
      <c r="B12" s="15">
        <v>2</v>
      </c>
    </row>
    <row r="13" spans="1:15" x14ac:dyDescent="0.3">
      <c r="A13" s="11" t="s">
        <v>8</v>
      </c>
      <c r="B13" s="15">
        <v>4.3748015828022293</v>
      </c>
    </row>
    <row r="37" spans="2:10" ht="33.6" x14ac:dyDescent="0.65">
      <c r="B37" s="33" t="s">
        <v>51</v>
      </c>
      <c r="C37" s="33"/>
      <c r="D37" s="33"/>
      <c r="E37" s="33"/>
      <c r="F37" s="33"/>
      <c r="G37" s="33"/>
      <c r="H37" s="33"/>
      <c r="I37" s="33"/>
      <c r="J37" s="33"/>
    </row>
  </sheetData>
  <mergeCells count="5">
    <mergeCell ref="A1:O1"/>
    <mergeCell ref="A3:M3"/>
    <mergeCell ref="A4:M4"/>
    <mergeCell ref="A5:L5"/>
    <mergeCell ref="B37:J37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29A12-A2C5-4BAB-9B26-CB279D41E09A}">
  <dimension ref="A1:L29"/>
  <sheetViews>
    <sheetView workbookViewId="0">
      <selection activeCell="L41" sqref="L41"/>
    </sheetView>
  </sheetViews>
  <sheetFormatPr defaultRowHeight="14.4" x14ac:dyDescent="0.3"/>
  <cols>
    <col min="1" max="1" width="16.5546875" bestFit="1" customWidth="1"/>
    <col min="2" max="2" width="10.44140625" bestFit="1" customWidth="1"/>
    <col min="3" max="3" width="15.5546875" bestFit="1" customWidth="1"/>
    <col min="4" max="4" width="18.109375" bestFit="1" customWidth="1"/>
    <col min="5" max="5" width="20.33203125" bestFit="1" customWidth="1"/>
    <col min="6" max="6" width="21.44140625" bestFit="1" customWidth="1"/>
    <col min="7" max="7" width="22.88671875" bestFit="1" customWidth="1"/>
    <col min="8" max="8" width="15.109375" customWidth="1"/>
  </cols>
  <sheetData>
    <row r="1" spans="1:12" ht="25.8" x14ac:dyDescent="0.5">
      <c r="A1" s="34" t="s">
        <v>52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3" spans="1:12" ht="17.399999999999999" customHeight="1" x14ac:dyDescent="0.35">
      <c r="H3" s="18" t="s">
        <v>53</v>
      </c>
    </row>
    <row r="4" spans="1:12" ht="18" customHeight="1" thickBot="1" x14ac:dyDescent="0.35">
      <c r="A4" s="5" t="s">
        <v>0</v>
      </c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7" t="s">
        <v>6</v>
      </c>
      <c r="H4" s="13" t="s">
        <v>54</v>
      </c>
      <c r="I4" s="13" t="s">
        <v>55</v>
      </c>
    </row>
    <row r="5" spans="1:12" ht="18" customHeight="1" thickBot="1" x14ac:dyDescent="0.35">
      <c r="A5" s="4">
        <v>102</v>
      </c>
      <c r="B5" s="2" t="s">
        <v>9</v>
      </c>
      <c r="C5" s="2" t="s">
        <v>10</v>
      </c>
      <c r="D5" s="2">
        <v>40</v>
      </c>
      <c r="E5" s="2">
        <v>65</v>
      </c>
      <c r="F5" s="2">
        <v>90</v>
      </c>
      <c r="G5" s="2">
        <v>5</v>
      </c>
      <c r="H5" s="19">
        <f>(empT5[[#This Row],[Productivity_Score]] *empT5[[#This Row],[Performance_Rating]])/empT5[[#This Row],[Hours_Worked]]</f>
        <v>11.25</v>
      </c>
      <c r="I5" s="12">
        <f>RANK(empT5[[#This Row],[PEI]],empT5[PEI],)</f>
        <v>1</v>
      </c>
    </row>
    <row r="6" spans="1:12" ht="18" customHeight="1" thickBot="1" x14ac:dyDescent="0.35">
      <c r="A6" s="3">
        <v>109</v>
      </c>
      <c r="B6" s="1" t="s">
        <v>20</v>
      </c>
      <c r="C6" s="1" t="s">
        <v>10</v>
      </c>
      <c r="D6" s="1">
        <v>42</v>
      </c>
      <c r="E6" s="1">
        <v>70</v>
      </c>
      <c r="F6" s="1">
        <v>92</v>
      </c>
      <c r="G6" s="1">
        <v>5</v>
      </c>
      <c r="H6" s="19">
        <f>(empT5[[#This Row],[Productivity_Score]] *empT5[[#This Row],[Performance_Rating]])/empT5[[#This Row],[Hours_Worked]]</f>
        <v>10.952380952380953</v>
      </c>
      <c r="I6" s="12">
        <f>RANK(empT5[[#This Row],[PEI]],empT5[PEI],)</f>
        <v>2</v>
      </c>
    </row>
    <row r="7" spans="1:12" ht="18" customHeight="1" thickBot="1" x14ac:dyDescent="0.35">
      <c r="A7" s="4">
        <v>118</v>
      </c>
      <c r="B7" s="2" t="s">
        <v>29</v>
      </c>
      <c r="C7" s="2" t="s">
        <v>10</v>
      </c>
      <c r="D7" s="2">
        <v>43</v>
      </c>
      <c r="E7" s="2">
        <v>75</v>
      </c>
      <c r="F7" s="2">
        <v>93</v>
      </c>
      <c r="G7" s="2">
        <v>5</v>
      </c>
      <c r="H7" s="19">
        <f>(empT5[[#This Row],[Productivity_Score]] *empT5[[#This Row],[Performance_Rating]])/empT5[[#This Row],[Hours_Worked]]</f>
        <v>10.813953488372093</v>
      </c>
      <c r="I7" s="12">
        <f>RANK(empT5[[#This Row],[PEI]],empT5[PEI],)</f>
        <v>3</v>
      </c>
    </row>
    <row r="8" spans="1:12" ht="18" hidden="1" customHeight="1" thickBot="1" x14ac:dyDescent="0.35">
      <c r="A8" s="4">
        <v>112</v>
      </c>
      <c r="B8" s="2" t="s">
        <v>23</v>
      </c>
      <c r="C8" s="2" t="s">
        <v>10</v>
      </c>
      <c r="D8" s="2">
        <v>44</v>
      </c>
      <c r="E8" s="2">
        <v>73</v>
      </c>
      <c r="F8" s="2">
        <v>94</v>
      </c>
      <c r="G8" s="2">
        <v>5</v>
      </c>
      <c r="H8" s="19">
        <f>(empT5[[#This Row],[Productivity_Score]] *empT5[[#This Row],[Performance_Rating]])/empT5[[#This Row],[Hours_Worked]]</f>
        <v>10.681818181818182</v>
      </c>
      <c r="I8" s="12">
        <f>RANK(empT5[[#This Row],[PEI]],empT5[PEI],)</f>
        <v>4</v>
      </c>
    </row>
    <row r="9" spans="1:12" ht="18" hidden="1" customHeight="1" thickBot="1" x14ac:dyDescent="0.35">
      <c r="A9" s="4">
        <v>104</v>
      </c>
      <c r="B9" s="2" t="s">
        <v>13</v>
      </c>
      <c r="C9" s="2" t="s">
        <v>14</v>
      </c>
      <c r="D9" s="2">
        <v>45</v>
      </c>
      <c r="E9" s="2">
        <v>75</v>
      </c>
      <c r="F9" s="2">
        <v>95</v>
      </c>
      <c r="G9" s="2">
        <v>5</v>
      </c>
      <c r="H9" s="19">
        <f>(empT5[[#This Row],[Productivity_Score]] *empT5[[#This Row],[Performance_Rating]])/empT5[[#This Row],[Hours_Worked]]</f>
        <v>10.555555555555555</v>
      </c>
      <c r="I9" s="12">
        <f>RANK(empT5[[#This Row],[PEI]],empT5[PEI],)</f>
        <v>5</v>
      </c>
    </row>
    <row r="10" spans="1:12" ht="18" hidden="1" customHeight="1" thickBot="1" x14ac:dyDescent="0.35">
      <c r="A10" s="3">
        <v>125</v>
      </c>
      <c r="B10" s="1" t="s">
        <v>36</v>
      </c>
      <c r="C10" s="1" t="s">
        <v>14</v>
      </c>
      <c r="D10" s="1">
        <v>47</v>
      </c>
      <c r="E10" s="1">
        <v>79</v>
      </c>
      <c r="F10" s="1">
        <v>99</v>
      </c>
      <c r="G10" s="1">
        <v>5</v>
      </c>
      <c r="H10" s="19">
        <f>(empT5[[#This Row],[Productivity_Score]] *empT5[[#This Row],[Performance_Rating]])/empT5[[#This Row],[Hours_Worked]]</f>
        <v>10.531914893617021</v>
      </c>
      <c r="I10" s="12">
        <f>RANK(empT5[[#This Row],[PEI]],empT5[PEI],)</f>
        <v>6</v>
      </c>
    </row>
    <row r="11" spans="1:12" ht="18" hidden="1" customHeight="1" thickBot="1" x14ac:dyDescent="0.35">
      <c r="A11" s="3">
        <v>123</v>
      </c>
      <c r="B11" s="1" t="s">
        <v>34</v>
      </c>
      <c r="C11" s="1" t="s">
        <v>10</v>
      </c>
      <c r="D11" s="1">
        <v>46</v>
      </c>
      <c r="E11" s="1">
        <v>77</v>
      </c>
      <c r="F11" s="1">
        <v>96</v>
      </c>
      <c r="G11" s="1">
        <v>5</v>
      </c>
      <c r="H11" s="19">
        <f>(empT5[[#This Row],[Productivity_Score]] *empT5[[#This Row],[Performance_Rating]])/empT5[[#This Row],[Hours_Worked]]</f>
        <v>10.434782608695652</v>
      </c>
      <c r="I11" s="12">
        <f>RANK(empT5[[#This Row],[PEI]],empT5[PEI],)</f>
        <v>7</v>
      </c>
    </row>
    <row r="12" spans="1:12" ht="18" hidden="1" customHeight="1" thickBot="1" x14ac:dyDescent="0.35">
      <c r="A12" s="3">
        <v>115</v>
      </c>
      <c r="B12" s="1" t="s">
        <v>26</v>
      </c>
      <c r="C12" s="1" t="s">
        <v>14</v>
      </c>
      <c r="D12" s="1">
        <v>48</v>
      </c>
      <c r="E12" s="1">
        <v>78</v>
      </c>
      <c r="F12" s="1">
        <v>98</v>
      </c>
      <c r="G12" s="1">
        <v>5</v>
      </c>
      <c r="H12" s="19">
        <f>(empT5[[#This Row],[Productivity_Score]] *empT5[[#This Row],[Performance_Rating]])/empT5[[#This Row],[Hours_Worked]]</f>
        <v>10.208333333333334</v>
      </c>
      <c r="I12" s="12">
        <f>RANK(empT5[[#This Row],[PEI]],empT5[PEI],)</f>
        <v>8</v>
      </c>
    </row>
    <row r="13" spans="1:12" ht="18" hidden="1" customHeight="1" thickBot="1" x14ac:dyDescent="0.35">
      <c r="A13" s="3">
        <v>107</v>
      </c>
      <c r="B13" s="1" t="s">
        <v>18</v>
      </c>
      <c r="C13" s="1" t="s">
        <v>14</v>
      </c>
      <c r="D13" s="1">
        <v>50</v>
      </c>
      <c r="E13" s="1">
        <v>80</v>
      </c>
      <c r="F13" s="1">
        <v>100</v>
      </c>
      <c r="G13" s="1">
        <v>5</v>
      </c>
      <c r="H13" s="19">
        <f>(empT5[[#This Row],[Productivity_Score]] *empT5[[#This Row],[Performance_Rating]])/empT5[[#This Row],[Hours_Worked]]</f>
        <v>10</v>
      </c>
      <c r="I13" s="12">
        <f>RANK(empT5[[#This Row],[PEI]],empT5[PEI],)</f>
        <v>9</v>
      </c>
    </row>
    <row r="14" spans="1:12" ht="18" hidden="1" customHeight="1" thickBot="1" x14ac:dyDescent="0.35">
      <c r="A14" s="3">
        <v>101</v>
      </c>
      <c r="B14" s="1" t="s">
        <v>7</v>
      </c>
      <c r="C14" s="1" t="s">
        <v>8</v>
      </c>
      <c r="D14" s="1">
        <v>35</v>
      </c>
      <c r="E14" s="1">
        <v>50</v>
      </c>
      <c r="F14" s="1">
        <v>80</v>
      </c>
      <c r="G14" s="1">
        <v>4</v>
      </c>
      <c r="H14" s="19">
        <f>(empT5[[#This Row],[Productivity_Score]] *empT5[[#This Row],[Performance_Rating]])/empT5[[#This Row],[Hours_Worked]]</f>
        <v>9.1428571428571423</v>
      </c>
      <c r="I14" s="12">
        <f>RANK(empT5[[#This Row],[PEI]],empT5[PEI],)</f>
        <v>10</v>
      </c>
    </row>
    <row r="15" spans="1:12" ht="18" hidden="1" customHeight="1" thickBot="1" x14ac:dyDescent="0.35">
      <c r="A15" s="4">
        <v>110</v>
      </c>
      <c r="B15" s="2" t="s">
        <v>21</v>
      </c>
      <c r="C15" s="2" t="s">
        <v>8</v>
      </c>
      <c r="D15" s="2">
        <v>37</v>
      </c>
      <c r="E15" s="2">
        <v>55</v>
      </c>
      <c r="F15" s="2">
        <v>83</v>
      </c>
      <c r="G15" s="2">
        <v>4</v>
      </c>
      <c r="H15" s="19">
        <f>(empT5[[#This Row],[Productivity_Score]] *empT5[[#This Row],[Performance_Rating]])/empT5[[#This Row],[Hours_Worked]]</f>
        <v>8.9729729729729737</v>
      </c>
      <c r="I15" s="12">
        <f>RANK(empT5[[#This Row],[PEI]],empT5[PEI],)</f>
        <v>11</v>
      </c>
    </row>
    <row r="16" spans="1:12" ht="18" hidden="1" customHeight="1" thickBot="1" x14ac:dyDescent="0.35">
      <c r="A16" s="4">
        <v>106</v>
      </c>
      <c r="B16" s="2" t="s">
        <v>17</v>
      </c>
      <c r="C16" s="2" t="s">
        <v>8</v>
      </c>
      <c r="D16" s="2">
        <v>38</v>
      </c>
      <c r="E16" s="2">
        <v>58</v>
      </c>
      <c r="F16" s="2">
        <v>85</v>
      </c>
      <c r="G16" s="2">
        <v>4</v>
      </c>
      <c r="H16" s="19">
        <f>(empT5[[#This Row],[Productivity_Score]] *empT5[[#This Row],[Performance_Rating]])/empT5[[#This Row],[Hours_Worked]]</f>
        <v>8.9473684210526319</v>
      </c>
      <c r="I16" s="12">
        <f>RANK(empT5[[#This Row],[PEI]],empT5[PEI],)</f>
        <v>12</v>
      </c>
    </row>
    <row r="17" spans="1:9" ht="18" hidden="1" customHeight="1" thickBot="1" x14ac:dyDescent="0.35">
      <c r="A17" s="3">
        <v>119</v>
      </c>
      <c r="B17" s="1" t="s">
        <v>30</v>
      </c>
      <c r="C17" s="1" t="s">
        <v>14</v>
      </c>
      <c r="D17" s="1">
        <v>39</v>
      </c>
      <c r="E17" s="1">
        <v>60</v>
      </c>
      <c r="F17" s="1">
        <v>87</v>
      </c>
      <c r="G17" s="1">
        <v>4</v>
      </c>
      <c r="H17" s="19">
        <f>(empT5[[#This Row],[Productivity_Score]] *empT5[[#This Row],[Performance_Rating]])/empT5[[#This Row],[Hours_Worked]]</f>
        <v>8.9230769230769234</v>
      </c>
      <c r="I17" s="12">
        <f>RANK(empT5[[#This Row],[PEI]],empT5[PEI],)</f>
        <v>13</v>
      </c>
    </row>
    <row r="18" spans="1:9" ht="18" hidden="1" customHeight="1" thickBot="1" x14ac:dyDescent="0.35">
      <c r="A18" s="4">
        <v>114</v>
      </c>
      <c r="B18" s="2" t="s">
        <v>25</v>
      </c>
      <c r="C18" s="2" t="s">
        <v>8</v>
      </c>
      <c r="D18" s="2">
        <v>41</v>
      </c>
      <c r="E18" s="2">
        <v>66</v>
      </c>
      <c r="F18" s="2">
        <v>89</v>
      </c>
      <c r="G18" s="2">
        <v>4</v>
      </c>
      <c r="H18" s="19">
        <f>(empT5[[#This Row],[Productivity_Score]] *empT5[[#This Row],[Performance_Rating]])/empT5[[#This Row],[Hours_Worked]]</f>
        <v>8.6829268292682933</v>
      </c>
      <c r="I18" s="12">
        <f>RANK(empT5[[#This Row],[PEI]],empT5[PEI],)</f>
        <v>14</v>
      </c>
    </row>
    <row r="19" spans="1:9" ht="18" hidden="1" customHeight="1" thickBot="1" x14ac:dyDescent="0.35">
      <c r="A19" s="4">
        <v>120</v>
      </c>
      <c r="B19" s="2" t="s">
        <v>31</v>
      </c>
      <c r="C19" s="2" t="s">
        <v>8</v>
      </c>
      <c r="D19" s="2">
        <v>36</v>
      </c>
      <c r="E19" s="2">
        <v>52</v>
      </c>
      <c r="F19" s="2">
        <v>78</v>
      </c>
      <c r="G19" s="2">
        <v>4</v>
      </c>
      <c r="H19" s="19">
        <f>(empT5[[#This Row],[Productivity_Score]] *empT5[[#This Row],[Performance_Rating]])/empT5[[#This Row],[Hours_Worked]]</f>
        <v>8.6666666666666661</v>
      </c>
      <c r="I19" s="12">
        <f>RANK(empT5[[#This Row],[PEI]],empT5[PEI],)</f>
        <v>15</v>
      </c>
    </row>
    <row r="20" spans="1:9" ht="18" hidden="1" customHeight="1" thickBot="1" x14ac:dyDescent="0.35">
      <c r="A20" s="3">
        <v>111</v>
      </c>
      <c r="B20" s="1" t="s">
        <v>22</v>
      </c>
      <c r="C20" s="1" t="s">
        <v>16</v>
      </c>
      <c r="D20" s="1">
        <v>29</v>
      </c>
      <c r="E20" s="1">
        <v>38</v>
      </c>
      <c r="F20" s="1">
        <v>68</v>
      </c>
      <c r="G20" s="1">
        <v>3</v>
      </c>
      <c r="H20" s="19">
        <f>(empT5[[#This Row],[Productivity_Score]] *empT5[[#This Row],[Performance_Rating]])/empT5[[#This Row],[Hours_Worked]]</f>
        <v>7.0344827586206895</v>
      </c>
      <c r="I20" s="12">
        <f>RANK(empT5[[#This Row],[PEI]],empT5[PEI],)</f>
        <v>16</v>
      </c>
    </row>
    <row r="21" spans="1:9" ht="18" hidden="1" customHeight="1" thickBot="1" x14ac:dyDescent="0.35">
      <c r="A21" s="3">
        <v>103</v>
      </c>
      <c r="B21" s="1" t="s">
        <v>11</v>
      </c>
      <c r="C21" s="1" t="s">
        <v>12</v>
      </c>
      <c r="D21" s="1">
        <v>30</v>
      </c>
      <c r="E21" s="1">
        <v>40</v>
      </c>
      <c r="F21" s="1">
        <v>70</v>
      </c>
      <c r="G21" s="1">
        <v>3</v>
      </c>
      <c r="H21" s="19">
        <f>(empT5[[#This Row],[Productivity_Score]] *empT5[[#This Row],[Performance_Rating]])/empT5[[#This Row],[Hours_Worked]]</f>
        <v>7</v>
      </c>
      <c r="I21" s="12">
        <f>RANK(empT5[[#This Row],[PEI]],empT5[PEI],)</f>
        <v>17</v>
      </c>
    </row>
    <row r="22" spans="1:9" ht="18" hidden="1" customHeight="1" thickBot="1" x14ac:dyDescent="0.35">
      <c r="A22" s="3">
        <v>117</v>
      </c>
      <c r="B22" s="1" t="s">
        <v>28</v>
      </c>
      <c r="C22" s="1" t="s">
        <v>12</v>
      </c>
      <c r="D22" s="1">
        <v>31</v>
      </c>
      <c r="E22" s="1">
        <v>42</v>
      </c>
      <c r="F22" s="1">
        <v>72</v>
      </c>
      <c r="G22" s="1">
        <v>3</v>
      </c>
      <c r="H22" s="19">
        <f>(empT5[[#This Row],[Productivity_Score]] *empT5[[#This Row],[Performance_Rating]])/empT5[[#This Row],[Hours_Worked]]</f>
        <v>6.967741935483871</v>
      </c>
      <c r="I22" s="12">
        <f>RANK(empT5[[#This Row],[PEI]],empT5[PEI],)</f>
        <v>18</v>
      </c>
    </row>
    <row r="23" spans="1:9" ht="18" hidden="1" customHeight="1" thickBot="1" x14ac:dyDescent="0.35">
      <c r="A23" s="4">
        <v>108</v>
      </c>
      <c r="B23" s="2" t="s">
        <v>19</v>
      </c>
      <c r="C23" s="2" t="s">
        <v>12</v>
      </c>
      <c r="D23" s="2">
        <v>28</v>
      </c>
      <c r="E23" s="2">
        <v>35</v>
      </c>
      <c r="F23" s="2">
        <v>65</v>
      </c>
      <c r="G23" s="2">
        <v>3</v>
      </c>
      <c r="H23" s="19">
        <f>(empT5[[#This Row],[Productivity_Score]] *empT5[[#This Row],[Performance_Rating]])/empT5[[#This Row],[Hours_Worked]]</f>
        <v>6.9642857142857144</v>
      </c>
      <c r="I23" s="12">
        <f>RANK(empT5[[#This Row],[PEI]],empT5[PEI],)</f>
        <v>19</v>
      </c>
    </row>
    <row r="24" spans="1:9" ht="18" hidden="1" customHeight="1" thickBot="1" x14ac:dyDescent="0.35">
      <c r="A24" s="4">
        <v>122</v>
      </c>
      <c r="B24" s="2" t="s">
        <v>33</v>
      </c>
      <c r="C24" s="2" t="s">
        <v>12</v>
      </c>
      <c r="D24" s="2">
        <v>32</v>
      </c>
      <c r="E24" s="2">
        <v>44</v>
      </c>
      <c r="F24" s="2">
        <v>74</v>
      </c>
      <c r="G24" s="2">
        <v>3</v>
      </c>
      <c r="H24" s="19">
        <f>(empT5[[#This Row],[Productivity_Score]] *empT5[[#This Row],[Performance_Rating]])/empT5[[#This Row],[Hours_Worked]]</f>
        <v>6.9375</v>
      </c>
      <c r="I24" s="12">
        <f>RANK(empT5[[#This Row],[PEI]],empT5[PEI],)</f>
        <v>20</v>
      </c>
    </row>
    <row r="25" spans="1:9" ht="18" hidden="1" customHeight="1" thickBot="1" x14ac:dyDescent="0.35">
      <c r="A25" s="3">
        <v>113</v>
      </c>
      <c r="B25" s="1" t="s">
        <v>24</v>
      </c>
      <c r="C25" s="1" t="s">
        <v>12</v>
      </c>
      <c r="D25" s="1">
        <v>33</v>
      </c>
      <c r="E25" s="1">
        <v>45</v>
      </c>
      <c r="F25" s="1">
        <v>75</v>
      </c>
      <c r="G25" s="1">
        <v>3</v>
      </c>
      <c r="H25" s="19">
        <f>(empT5[[#This Row],[Productivity_Score]] *empT5[[#This Row],[Performance_Rating]])/empT5[[#This Row],[Hours_Worked]]</f>
        <v>6.8181818181818183</v>
      </c>
      <c r="I25" s="12">
        <f>RANK(empT5[[#This Row],[PEI]],empT5[PEI],)</f>
        <v>21</v>
      </c>
    </row>
    <row r="26" spans="1:9" ht="18" hidden="1" customHeight="1" thickBot="1" x14ac:dyDescent="0.35">
      <c r="A26" s="4">
        <v>124</v>
      </c>
      <c r="B26" s="2" t="s">
        <v>35</v>
      </c>
      <c r="C26" s="2" t="s">
        <v>8</v>
      </c>
      <c r="D26" s="2">
        <v>34</v>
      </c>
      <c r="E26" s="2">
        <v>48</v>
      </c>
      <c r="F26" s="2">
        <v>76</v>
      </c>
      <c r="G26" s="2">
        <v>3</v>
      </c>
      <c r="H26" s="19">
        <f>(empT5[[#This Row],[Productivity_Score]] *empT5[[#This Row],[Performance_Rating]])/empT5[[#This Row],[Hours_Worked]]</f>
        <v>6.7058823529411766</v>
      </c>
      <c r="I26" s="12">
        <f>RANK(empT5[[#This Row],[PEI]],empT5[PEI],)</f>
        <v>22</v>
      </c>
    </row>
    <row r="27" spans="1:9" ht="18" hidden="1" customHeight="1" thickBot="1" x14ac:dyDescent="0.35">
      <c r="A27" s="3">
        <v>105</v>
      </c>
      <c r="B27" s="1" t="s">
        <v>15</v>
      </c>
      <c r="C27" s="1" t="s">
        <v>16</v>
      </c>
      <c r="D27" s="1">
        <v>25</v>
      </c>
      <c r="E27" s="1">
        <v>30</v>
      </c>
      <c r="F27" s="1">
        <v>60</v>
      </c>
      <c r="G27" s="1">
        <v>2</v>
      </c>
      <c r="H27" s="19">
        <f>(empT5[[#This Row],[Productivity_Score]] *empT5[[#This Row],[Performance_Rating]])/empT5[[#This Row],[Hours_Worked]]</f>
        <v>4.8</v>
      </c>
      <c r="I27" s="12">
        <f>RANK(empT5[[#This Row],[PEI]],empT5[PEI],)</f>
        <v>23</v>
      </c>
    </row>
    <row r="28" spans="1:9" ht="18" hidden="1" customHeight="1" thickBot="1" x14ac:dyDescent="0.35">
      <c r="A28" s="4">
        <v>116</v>
      </c>
      <c r="B28" s="2" t="s">
        <v>27</v>
      </c>
      <c r="C28" s="2" t="s">
        <v>16</v>
      </c>
      <c r="D28" s="2">
        <v>26</v>
      </c>
      <c r="E28" s="2">
        <v>32</v>
      </c>
      <c r="F28" s="2">
        <v>62</v>
      </c>
      <c r="G28" s="2">
        <v>2</v>
      </c>
      <c r="H28" s="19">
        <f>(empT5[[#This Row],[Productivity_Score]] *empT5[[#This Row],[Performance_Rating]])/empT5[[#This Row],[Hours_Worked]]</f>
        <v>4.7692307692307692</v>
      </c>
      <c r="I28" s="12">
        <f>RANK(empT5[[#This Row],[PEI]],empT5[PEI],)</f>
        <v>24</v>
      </c>
    </row>
    <row r="29" spans="1:9" ht="18" hidden="1" customHeight="1" x14ac:dyDescent="0.3">
      <c r="A29" s="8">
        <v>121</v>
      </c>
      <c r="B29" s="9" t="s">
        <v>32</v>
      </c>
      <c r="C29" s="9" t="s">
        <v>16</v>
      </c>
      <c r="D29" s="9">
        <v>27</v>
      </c>
      <c r="E29" s="9">
        <v>34</v>
      </c>
      <c r="F29" s="9">
        <v>64</v>
      </c>
      <c r="G29" s="9">
        <v>2</v>
      </c>
      <c r="H29" s="19">
        <f>(empT5[[#This Row],[Productivity_Score]] *empT5[[#This Row],[Performance_Rating]])/empT5[[#This Row],[Hours_Worked]]</f>
        <v>4.7407407407407405</v>
      </c>
      <c r="I29" s="12">
        <f>RANK(empT5[[#This Row],[PEI]],empT5[PEI],)</f>
        <v>25</v>
      </c>
    </row>
  </sheetData>
  <mergeCells count="1">
    <mergeCell ref="A1:L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13D47-B495-42E4-8ADA-9FC94FA3B226}">
  <dimension ref="B17:S42"/>
  <sheetViews>
    <sheetView topLeftCell="A39" workbookViewId="0">
      <selection activeCell="O64" sqref="O64"/>
    </sheetView>
  </sheetViews>
  <sheetFormatPr defaultRowHeight="14.4" x14ac:dyDescent="0.3"/>
  <cols>
    <col min="3" max="3" width="17.5546875" customWidth="1"/>
    <col min="4" max="4" width="14.21875" customWidth="1"/>
    <col min="11" max="11" width="22.77734375" customWidth="1"/>
    <col min="15" max="15" width="17.6640625" customWidth="1"/>
    <col min="16" max="16" width="12.77734375" customWidth="1"/>
  </cols>
  <sheetData>
    <row r="17" spans="2:19" ht="33.6" x14ac:dyDescent="0.65">
      <c r="B17" s="16" t="s">
        <v>56</v>
      </c>
    </row>
    <row r="20" spans="2:19" ht="23.4" x14ac:dyDescent="0.45">
      <c r="B20" s="36" t="s">
        <v>58</v>
      </c>
      <c r="C20" s="36"/>
      <c r="D20" s="36"/>
      <c r="E20" s="36"/>
      <c r="F20" s="36"/>
      <c r="G20" s="36"/>
      <c r="H20" s="36"/>
      <c r="M20" s="36" t="s">
        <v>57</v>
      </c>
      <c r="N20" s="36"/>
      <c r="O20" s="36"/>
      <c r="P20" s="36"/>
      <c r="Q20" s="36"/>
      <c r="R20" s="36"/>
      <c r="S20" s="36"/>
    </row>
    <row r="23" spans="2:19" x14ac:dyDescent="0.3">
      <c r="C23" s="21"/>
      <c r="D23" s="21" t="s">
        <v>3</v>
      </c>
      <c r="O23" s="21"/>
      <c r="P23" s="21" t="s">
        <v>3</v>
      </c>
    </row>
    <row r="24" spans="2:19" x14ac:dyDescent="0.3">
      <c r="C24" s="21" t="s">
        <v>59</v>
      </c>
      <c r="D24" s="22">
        <f>CORREL(empT[Hours_Worked],empT[Performance_Rating])</f>
        <v>0.94623485838187704</v>
      </c>
      <c r="O24" s="21" t="s">
        <v>59</v>
      </c>
      <c r="P24" s="22">
        <f>CORREL(empT[Tasks_Completed],empT[Performance_Rating])</f>
        <v>0.95745537036476214</v>
      </c>
    </row>
    <row r="27" spans="2:19" ht="21" x14ac:dyDescent="0.4">
      <c r="H27" s="37" t="s">
        <v>60</v>
      </c>
      <c r="I27" s="37"/>
      <c r="J27" s="37"/>
      <c r="K27" s="37"/>
    </row>
    <row r="28" spans="2:19" ht="21" x14ac:dyDescent="0.4">
      <c r="H28" s="35" t="s">
        <v>61</v>
      </c>
      <c r="I28" s="35"/>
      <c r="J28" s="35"/>
      <c r="K28" s="35"/>
    </row>
    <row r="29" spans="2:19" ht="21" x14ac:dyDescent="0.4">
      <c r="H29" s="35" t="s">
        <v>62</v>
      </c>
      <c r="I29" s="35"/>
      <c r="J29" s="35"/>
      <c r="K29" s="35"/>
    </row>
    <row r="30" spans="2:19" ht="21" x14ac:dyDescent="0.4">
      <c r="H30" s="35" t="s">
        <v>63</v>
      </c>
      <c r="I30" s="35"/>
      <c r="J30" s="35"/>
      <c r="K30" s="35"/>
    </row>
    <row r="32" spans="2:19" x14ac:dyDescent="0.3">
      <c r="L32" s="17"/>
    </row>
    <row r="42" spans="2:2" ht="33.6" x14ac:dyDescent="0.65">
      <c r="B42" s="16" t="s">
        <v>64</v>
      </c>
    </row>
  </sheetData>
  <mergeCells count="6">
    <mergeCell ref="H30:K30"/>
    <mergeCell ref="M20:S20"/>
    <mergeCell ref="B20:H20"/>
    <mergeCell ref="H27:K27"/>
    <mergeCell ref="H28:K28"/>
    <mergeCell ref="H29:K2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F87E6-3A2C-40EA-9ECB-78D8AC1DB1E0}">
  <dimension ref="C19:J23"/>
  <sheetViews>
    <sheetView topLeftCell="A7" workbookViewId="0">
      <selection activeCell="N27" sqref="N27"/>
    </sheetView>
  </sheetViews>
  <sheetFormatPr defaultRowHeight="14.4" x14ac:dyDescent="0.3"/>
  <cols>
    <col min="3" max="3" width="11.21875" bestFit="1" customWidth="1"/>
    <col min="4" max="4" width="13" customWidth="1"/>
    <col min="5" max="5" width="10.5546875" bestFit="1" customWidth="1"/>
    <col min="6" max="6" width="12.88671875" bestFit="1" customWidth="1"/>
    <col min="7" max="7" width="15.21875" bestFit="1" customWidth="1"/>
    <col min="8" max="8" width="15.88671875" bestFit="1" customWidth="1"/>
    <col min="9" max="9" width="17.5546875" bestFit="1" customWidth="1"/>
  </cols>
  <sheetData>
    <row r="19" spans="3:10" ht="15.6" x14ac:dyDescent="0.3">
      <c r="C19" s="38" t="s">
        <v>65</v>
      </c>
      <c r="D19" s="38"/>
      <c r="E19" s="23">
        <f>AVERAGE(empT[Hours_Worked])</f>
        <v>37.04</v>
      </c>
    </row>
    <row r="20" spans="3:10" x14ac:dyDescent="0.3">
      <c r="C20" s="20" t="str" cm="1">
        <f t="array" ref="C20:I20">_xlfn.CHOOSECOLS(empT[#Headers],1,2,3,4,5,6,7)</f>
        <v>Employee_ID</v>
      </c>
      <c r="D20" s="20" t="str">
        <v>Name</v>
      </c>
      <c r="E20" s="20" t="str">
        <v>Department</v>
      </c>
      <c r="F20" s="20" t="str">
        <v>Hours_Worked</v>
      </c>
      <c r="G20" s="20" t="str">
        <v>Tasks_Completed</v>
      </c>
      <c r="H20" s="20" t="str">
        <v>Productivity_Score</v>
      </c>
      <c r="I20" s="20" t="str">
        <v>Performance_Rating</v>
      </c>
    </row>
    <row r="21" spans="3:10" x14ac:dyDescent="0.3">
      <c r="C21" s="20" cm="1">
        <f t="array" ref="C21:J23">_xlfn._xlws.FILTER(empT[],(empT[Performance_Rating]&gt;=4)*(empT[Hours_Worked] &lt; 'Q5'!E19),"NOT FOUND")</f>
        <v>101</v>
      </c>
      <c r="D21" s="20" t="str">
        <v>Aakash</v>
      </c>
      <c r="E21" s="20" t="str">
        <v>Sales</v>
      </c>
      <c r="F21" s="20">
        <v>35</v>
      </c>
      <c r="G21" s="20">
        <v>50</v>
      </c>
      <c r="H21" s="20">
        <v>80</v>
      </c>
      <c r="I21" s="20">
        <v>4</v>
      </c>
      <c r="J21">
        <v>1.4285714285714286</v>
      </c>
    </row>
    <row r="22" spans="3:10" x14ac:dyDescent="0.3">
      <c r="C22" s="20">
        <v>110</v>
      </c>
      <c r="D22" s="20" t="str">
        <v>Sneha</v>
      </c>
      <c r="E22" s="20" t="str">
        <v>Sales</v>
      </c>
      <c r="F22" s="20">
        <v>37</v>
      </c>
      <c r="G22" s="20">
        <v>55</v>
      </c>
      <c r="H22" s="20">
        <v>83</v>
      </c>
      <c r="I22" s="20">
        <v>4</v>
      </c>
      <c r="J22">
        <v>1.4864864864864864</v>
      </c>
    </row>
    <row r="23" spans="3:10" x14ac:dyDescent="0.3">
      <c r="C23" s="20">
        <v>120</v>
      </c>
      <c r="D23" s="20" t="str">
        <v>Suman</v>
      </c>
      <c r="E23" s="20" t="str">
        <v>Sales</v>
      </c>
      <c r="F23" s="20">
        <v>36</v>
      </c>
      <c r="G23" s="20">
        <v>52</v>
      </c>
      <c r="H23" s="20">
        <v>78</v>
      </c>
      <c r="I23" s="20">
        <v>4</v>
      </c>
      <c r="J23">
        <v>1.4444444444444444</v>
      </c>
    </row>
  </sheetData>
  <mergeCells count="1">
    <mergeCell ref="C19:D19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27EA2-88C3-415E-AB53-60B2A6B7335C}">
  <dimension ref="A14:H40"/>
  <sheetViews>
    <sheetView tabSelected="1" workbookViewId="0">
      <selection activeCell="K20" sqref="K20"/>
    </sheetView>
  </sheetViews>
  <sheetFormatPr defaultRowHeight="14.4" x14ac:dyDescent="0.3"/>
  <cols>
    <col min="1" max="1" width="12.77734375" bestFit="1" customWidth="1"/>
    <col min="2" max="2" width="16" customWidth="1"/>
    <col min="3" max="3" width="21.6640625" customWidth="1"/>
    <col min="4" max="4" width="21.33203125" customWidth="1"/>
    <col min="5" max="5" width="23.33203125" customWidth="1"/>
    <col min="6" max="6" width="18.109375" customWidth="1"/>
    <col min="7" max="7" width="27.88671875" customWidth="1"/>
    <col min="8" max="8" width="19.21875" style="15" customWidth="1"/>
  </cols>
  <sheetData>
    <row r="14" spans="1:8" ht="12.6" customHeight="1" x14ac:dyDescent="0.3"/>
    <row r="15" spans="1:8" ht="15.6" customHeight="1" thickBot="1" x14ac:dyDescent="0.35">
      <c r="A15" s="5" t="s">
        <v>0</v>
      </c>
      <c r="B15" s="6" t="s">
        <v>1</v>
      </c>
      <c r="C15" s="6" t="s">
        <v>2</v>
      </c>
      <c r="D15" s="6" t="s">
        <v>3</v>
      </c>
      <c r="E15" s="6" t="s">
        <v>4</v>
      </c>
      <c r="F15" s="6" t="s">
        <v>5</v>
      </c>
      <c r="G15" s="7" t="s">
        <v>6</v>
      </c>
      <c r="H15" s="24" t="s">
        <v>66</v>
      </c>
    </row>
    <row r="16" spans="1:8" ht="15.6" customHeight="1" thickBot="1" x14ac:dyDescent="0.35">
      <c r="A16" s="3">
        <v>101</v>
      </c>
      <c r="B16" s="1" t="s">
        <v>7</v>
      </c>
      <c r="C16" s="1" t="s">
        <v>8</v>
      </c>
      <c r="D16" s="1">
        <v>35</v>
      </c>
      <c r="E16" s="1">
        <v>50</v>
      </c>
      <c r="F16" s="1">
        <v>80</v>
      </c>
      <c r="G16" s="1">
        <v>4</v>
      </c>
      <c r="H16" s="19">
        <f>empT[[#This Row],[Tasks_Completed]]/empT[[#This Row],[Hours_Worked]]</f>
        <v>1.4285714285714286</v>
      </c>
    </row>
    <row r="17" spans="1:8" ht="15.6" customHeight="1" thickBot="1" x14ac:dyDescent="0.35">
      <c r="A17" s="4">
        <v>102</v>
      </c>
      <c r="B17" s="2" t="s">
        <v>9</v>
      </c>
      <c r="C17" s="2" t="s">
        <v>10</v>
      </c>
      <c r="D17" s="2">
        <v>40</v>
      </c>
      <c r="E17" s="2">
        <v>65</v>
      </c>
      <c r="F17" s="2">
        <v>90</v>
      </c>
      <c r="G17" s="2">
        <v>5</v>
      </c>
      <c r="H17" s="19">
        <f>empT[[#This Row],[Tasks_Completed]]/empT[[#This Row],[Hours_Worked]]</f>
        <v>1.625</v>
      </c>
    </row>
    <row r="18" spans="1:8" ht="15.6" customHeight="1" thickBot="1" x14ac:dyDescent="0.35">
      <c r="A18" s="3">
        <v>103</v>
      </c>
      <c r="B18" s="1" t="s">
        <v>11</v>
      </c>
      <c r="C18" s="1" t="s">
        <v>12</v>
      </c>
      <c r="D18" s="1">
        <v>30</v>
      </c>
      <c r="E18" s="1">
        <v>40</v>
      </c>
      <c r="F18" s="1">
        <v>70</v>
      </c>
      <c r="G18" s="1">
        <v>3</v>
      </c>
      <c r="H18" s="19">
        <f>empT[[#This Row],[Tasks_Completed]]/empT[[#This Row],[Hours_Worked]]</f>
        <v>1.3333333333333333</v>
      </c>
    </row>
    <row r="19" spans="1:8" ht="15.6" customHeight="1" thickBot="1" x14ac:dyDescent="0.35">
      <c r="A19" s="4">
        <v>104</v>
      </c>
      <c r="B19" s="2" t="s">
        <v>13</v>
      </c>
      <c r="C19" s="2" t="s">
        <v>14</v>
      </c>
      <c r="D19" s="2">
        <v>45</v>
      </c>
      <c r="E19" s="2">
        <v>75</v>
      </c>
      <c r="F19" s="2">
        <v>95</v>
      </c>
      <c r="G19" s="2">
        <v>5</v>
      </c>
      <c r="H19" s="19">
        <f>empT[[#This Row],[Tasks_Completed]]/empT[[#This Row],[Hours_Worked]]</f>
        <v>1.6666666666666667</v>
      </c>
    </row>
    <row r="20" spans="1:8" ht="15.6" customHeight="1" thickBot="1" x14ac:dyDescent="0.35">
      <c r="A20" s="3">
        <v>105</v>
      </c>
      <c r="B20" s="1" t="s">
        <v>15</v>
      </c>
      <c r="C20" s="1" t="s">
        <v>16</v>
      </c>
      <c r="D20" s="1">
        <v>25</v>
      </c>
      <c r="E20" s="1">
        <v>30</v>
      </c>
      <c r="F20" s="1">
        <v>60</v>
      </c>
      <c r="G20" s="1">
        <v>2</v>
      </c>
      <c r="H20" s="19">
        <f>empT[[#This Row],[Tasks_Completed]]/empT[[#This Row],[Hours_Worked]]</f>
        <v>1.2</v>
      </c>
    </row>
    <row r="21" spans="1:8" ht="15.6" customHeight="1" thickBot="1" x14ac:dyDescent="0.35">
      <c r="A21" s="4">
        <v>106</v>
      </c>
      <c r="B21" s="2" t="s">
        <v>17</v>
      </c>
      <c r="C21" s="2" t="s">
        <v>8</v>
      </c>
      <c r="D21" s="2">
        <v>38</v>
      </c>
      <c r="E21" s="2">
        <v>58</v>
      </c>
      <c r="F21" s="2">
        <v>85</v>
      </c>
      <c r="G21" s="2">
        <v>4</v>
      </c>
      <c r="H21" s="19">
        <f>empT[[#This Row],[Tasks_Completed]]/empT[[#This Row],[Hours_Worked]]</f>
        <v>1.5263157894736843</v>
      </c>
    </row>
    <row r="22" spans="1:8" ht="15.6" customHeight="1" thickBot="1" x14ac:dyDescent="0.35">
      <c r="A22" s="3">
        <v>107</v>
      </c>
      <c r="B22" s="1" t="s">
        <v>18</v>
      </c>
      <c r="C22" s="1" t="s">
        <v>14</v>
      </c>
      <c r="D22" s="1">
        <v>50</v>
      </c>
      <c r="E22" s="1">
        <v>80</v>
      </c>
      <c r="F22" s="1">
        <v>100</v>
      </c>
      <c r="G22" s="1">
        <v>5</v>
      </c>
      <c r="H22" s="19">
        <f>empT[[#This Row],[Tasks_Completed]]/empT[[#This Row],[Hours_Worked]]</f>
        <v>1.6</v>
      </c>
    </row>
    <row r="23" spans="1:8" ht="15.6" customHeight="1" thickBot="1" x14ac:dyDescent="0.35">
      <c r="A23" s="4">
        <v>108</v>
      </c>
      <c r="B23" s="2" t="s">
        <v>19</v>
      </c>
      <c r="C23" s="2" t="s">
        <v>12</v>
      </c>
      <c r="D23" s="2">
        <v>28</v>
      </c>
      <c r="E23" s="2">
        <v>35</v>
      </c>
      <c r="F23" s="2">
        <v>65</v>
      </c>
      <c r="G23" s="2">
        <v>3</v>
      </c>
      <c r="H23" s="19">
        <f>empT[[#This Row],[Tasks_Completed]]/empT[[#This Row],[Hours_Worked]]</f>
        <v>1.25</v>
      </c>
    </row>
    <row r="24" spans="1:8" ht="15.6" customHeight="1" thickBot="1" x14ac:dyDescent="0.35">
      <c r="A24" s="3">
        <v>109</v>
      </c>
      <c r="B24" s="1" t="s">
        <v>20</v>
      </c>
      <c r="C24" s="1" t="s">
        <v>10</v>
      </c>
      <c r="D24" s="1">
        <v>42</v>
      </c>
      <c r="E24" s="1">
        <v>70</v>
      </c>
      <c r="F24" s="1">
        <v>92</v>
      </c>
      <c r="G24" s="1">
        <v>5</v>
      </c>
      <c r="H24" s="19">
        <f>empT[[#This Row],[Tasks_Completed]]/empT[[#This Row],[Hours_Worked]]</f>
        <v>1.6666666666666667</v>
      </c>
    </row>
    <row r="25" spans="1:8" ht="15.6" customHeight="1" thickBot="1" x14ac:dyDescent="0.35">
      <c r="A25" s="4">
        <v>110</v>
      </c>
      <c r="B25" s="2" t="s">
        <v>21</v>
      </c>
      <c r="C25" s="2" t="s">
        <v>8</v>
      </c>
      <c r="D25" s="2">
        <v>37</v>
      </c>
      <c r="E25" s="2">
        <v>55</v>
      </c>
      <c r="F25" s="2">
        <v>83</v>
      </c>
      <c r="G25" s="2">
        <v>4</v>
      </c>
      <c r="H25" s="19">
        <f>empT[[#This Row],[Tasks_Completed]]/empT[[#This Row],[Hours_Worked]]</f>
        <v>1.4864864864864864</v>
      </c>
    </row>
    <row r="26" spans="1:8" ht="15.6" customHeight="1" thickBot="1" x14ac:dyDescent="0.35">
      <c r="A26" s="3">
        <v>111</v>
      </c>
      <c r="B26" s="1" t="s">
        <v>22</v>
      </c>
      <c r="C26" s="1" t="s">
        <v>16</v>
      </c>
      <c r="D26" s="1">
        <v>29</v>
      </c>
      <c r="E26" s="1">
        <v>38</v>
      </c>
      <c r="F26" s="1">
        <v>68</v>
      </c>
      <c r="G26" s="1">
        <v>3</v>
      </c>
      <c r="H26" s="19">
        <f>empT[[#This Row],[Tasks_Completed]]/empT[[#This Row],[Hours_Worked]]</f>
        <v>1.3103448275862069</v>
      </c>
    </row>
    <row r="27" spans="1:8" ht="15.6" customHeight="1" thickBot="1" x14ac:dyDescent="0.35">
      <c r="A27" s="4">
        <v>112</v>
      </c>
      <c r="B27" s="2" t="s">
        <v>23</v>
      </c>
      <c r="C27" s="2" t="s">
        <v>10</v>
      </c>
      <c r="D27" s="2">
        <v>44</v>
      </c>
      <c r="E27" s="2">
        <v>73</v>
      </c>
      <c r="F27" s="2">
        <v>94</v>
      </c>
      <c r="G27" s="2">
        <v>5</v>
      </c>
      <c r="H27" s="19">
        <f>empT[[#This Row],[Tasks_Completed]]/empT[[#This Row],[Hours_Worked]]</f>
        <v>1.6590909090909092</v>
      </c>
    </row>
    <row r="28" spans="1:8" ht="15.6" customHeight="1" thickBot="1" x14ac:dyDescent="0.35">
      <c r="A28" s="3">
        <v>113</v>
      </c>
      <c r="B28" s="1" t="s">
        <v>24</v>
      </c>
      <c r="C28" s="1" t="s">
        <v>12</v>
      </c>
      <c r="D28" s="1">
        <v>33</v>
      </c>
      <c r="E28" s="1">
        <v>45</v>
      </c>
      <c r="F28" s="1">
        <v>75</v>
      </c>
      <c r="G28" s="1">
        <v>3</v>
      </c>
      <c r="H28" s="19">
        <f>empT[[#This Row],[Tasks_Completed]]/empT[[#This Row],[Hours_Worked]]</f>
        <v>1.3636363636363635</v>
      </c>
    </row>
    <row r="29" spans="1:8" ht="15.6" customHeight="1" thickBot="1" x14ac:dyDescent="0.35">
      <c r="A29" s="4">
        <v>114</v>
      </c>
      <c r="B29" s="2" t="s">
        <v>25</v>
      </c>
      <c r="C29" s="2" t="s">
        <v>8</v>
      </c>
      <c r="D29" s="2">
        <v>41</v>
      </c>
      <c r="E29" s="2">
        <v>66</v>
      </c>
      <c r="F29" s="2">
        <v>89</v>
      </c>
      <c r="G29" s="2">
        <v>4</v>
      </c>
      <c r="H29" s="19">
        <f>empT[[#This Row],[Tasks_Completed]]/empT[[#This Row],[Hours_Worked]]</f>
        <v>1.6097560975609757</v>
      </c>
    </row>
    <row r="30" spans="1:8" ht="15.6" customHeight="1" thickBot="1" x14ac:dyDescent="0.35">
      <c r="A30" s="3">
        <v>115</v>
      </c>
      <c r="B30" s="1" t="s">
        <v>26</v>
      </c>
      <c r="C30" s="1" t="s">
        <v>14</v>
      </c>
      <c r="D30" s="1">
        <v>48</v>
      </c>
      <c r="E30" s="1">
        <v>78</v>
      </c>
      <c r="F30" s="1">
        <v>98</v>
      </c>
      <c r="G30" s="1">
        <v>5</v>
      </c>
      <c r="H30" s="19">
        <f>empT[[#This Row],[Tasks_Completed]]/empT[[#This Row],[Hours_Worked]]</f>
        <v>1.625</v>
      </c>
    </row>
    <row r="31" spans="1:8" ht="15.6" customHeight="1" thickBot="1" x14ac:dyDescent="0.35">
      <c r="A31" s="4">
        <v>116</v>
      </c>
      <c r="B31" s="2" t="s">
        <v>27</v>
      </c>
      <c r="C31" s="2" t="s">
        <v>16</v>
      </c>
      <c r="D31" s="2">
        <v>26</v>
      </c>
      <c r="E31" s="2">
        <v>32</v>
      </c>
      <c r="F31" s="2">
        <v>62</v>
      </c>
      <c r="G31" s="2">
        <v>2</v>
      </c>
      <c r="H31" s="19">
        <f>empT[[#This Row],[Tasks_Completed]]/empT[[#This Row],[Hours_Worked]]</f>
        <v>1.2307692307692308</v>
      </c>
    </row>
    <row r="32" spans="1:8" ht="15.6" customHeight="1" thickBot="1" x14ac:dyDescent="0.35">
      <c r="A32" s="3">
        <v>117</v>
      </c>
      <c r="B32" s="1" t="s">
        <v>28</v>
      </c>
      <c r="C32" s="1" t="s">
        <v>12</v>
      </c>
      <c r="D32" s="1">
        <v>31</v>
      </c>
      <c r="E32" s="1">
        <v>42</v>
      </c>
      <c r="F32" s="1">
        <v>72</v>
      </c>
      <c r="G32" s="1">
        <v>3</v>
      </c>
      <c r="H32" s="19">
        <f>empT[[#This Row],[Tasks_Completed]]/empT[[#This Row],[Hours_Worked]]</f>
        <v>1.3548387096774193</v>
      </c>
    </row>
    <row r="33" spans="1:8" ht="15.6" customHeight="1" thickBot="1" x14ac:dyDescent="0.35">
      <c r="A33" s="4">
        <v>118</v>
      </c>
      <c r="B33" s="2" t="s">
        <v>29</v>
      </c>
      <c r="C33" s="2" t="s">
        <v>10</v>
      </c>
      <c r="D33" s="2">
        <v>43</v>
      </c>
      <c r="E33" s="2">
        <v>75</v>
      </c>
      <c r="F33" s="2">
        <v>93</v>
      </c>
      <c r="G33" s="2">
        <v>5</v>
      </c>
      <c r="H33" s="19">
        <f>empT[[#This Row],[Tasks_Completed]]/empT[[#This Row],[Hours_Worked]]</f>
        <v>1.7441860465116279</v>
      </c>
    </row>
    <row r="34" spans="1:8" ht="15.6" customHeight="1" thickBot="1" x14ac:dyDescent="0.35">
      <c r="A34" s="3">
        <v>119</v>
      </c>
      <c r="B34" s="1" t="s">
        <v>30</v>
      </c>
      <c r="C34" s="1" t="s">
        <v>14</v>
      </c>
      <c r="D34" s="1">
        <v>39</v>
      </c>
      <c r="E34" s="1">
        <v>60</v>
      </c>
      <c r="F34" s="1">
        <v>87</v>
      </c>
      <c r="G34" s="1">
        <v>4</v>
      </c>
      <c r="H34" s="19">
        <f>empT[[#This Row],[Tasks_Completed]]/empT[[#This Row],[Hours_Worked]]</f>
        <v>1.5384615384615385</v>
      </c>
    </row>
    <row r="35" spans="1:8" ht="15.6" customHeight="1" thickBot="1" x14ac:dyDescent="0.35">
      <c r="A35" s="4">
        <v>120</v>
      </c>
      <c r="B35" s="2" t="s">
        <v>31</v>
      </c>
      <c r="C35" s="2" t="s">
        <v>8</v>
      </c>
      <c r="D35" s="2">
        <v>36</v>
      </c>
      <c r="E35" s="2">
        <v>52</v>
      </c>
      <c r="F35" s="2">
        <v>78</v>
      </c>
      <c r="G35" s="2">
        <v>4</v>
      </c>
      <c r="H35" s="19">
        <f>empT[[#This Row],[Tasks_Completed]]/empT[[#This Row],[Hours_Worked]]</f>
        <v>1.4444444444444444</v>
      </c>
    </row>
    <row r="36" spans="1:8" ht="15.6" customHeight="1" thickBot="1" x14ac:dyDescent="0.35">
      <c r="A36" s="3">
        <v>121</v>
      </c>
      <c r="B36" s="1" t="s">
        <v>32</v>
      </c>
      <c r="C36" s="1" t="s">
        <v>16</v>
      </c>
      <c r="D36" s="1">
        <v>27</v>
      </c>
      <c r="E36" s="1">
        <v>34</v>
      </c>
      <c r="F36" s="1">
        <v>64</v>
      </c>
      <c r="G36" s="1">
        <v>2</v>
      </c>
      <c r="H36" s="19">
        <f>empT[[#This Row],[Tasks_Completed]]/empT[[#This Row],[Hours_Worked]]</f>
        <v>1.2592592592592593</v>
      </c>
    </row>
    <row r="37" spans="1:8" ht="15.6" customHeight="1" thickBot="1" x14ac:dyDescent="0.35">
      <c r="A37" s="4">
        <v>122</v>
      </c>
      <c r="B37" s="2" t="s">
        <v>33</v>
      </c>
      <c r="C37" s="2" t="s">
        <v>12</v>
      </c>
      <c r="D37" s="2">
        <v>32</v>
      </c>
      <c r="E37" s="2">
        <v>44</v>
      </c>
      <c r="F37" s="2">
        <v>74</v>
      </c>
      <c r="G37" s="2">
        <v>3</v>
      </c>
      <c r="H37" s="19">
        <f>empT[[#This Row],[Tasks_Completed]]/empT[[#This Row],[Hours_Worked]]</f>
        <v>1.375</v>
      </c>
    </row>
    <row r="38" spans="1:8" ht="15.6" customHeight="1" thickBot="1" x14ac:dyDescent="0.35">
      <c r="A38" s="3">
        <v>123</v>
      </c>
      <c r="B38" s="1" t="s">
        <v>34</v>
      </c>
      <c r="C38" s="1" t="s">
        <v>10</v>
      </c>
      <c r="D38" s="1">
        <v>46</v>
      </c>
      <c r="E38" s="1">
        <v>77</v>
      </c>
      <c r="F38" s="1">
        <v>96</v>
      </c>
      <c r="G38" s="1">
        <v>5</v>
      </c>
      <c r="H38" s="19">
        <f>empT[[#This Row],[Tasks_Completed]]/empT[[#This Row],[Hours_Worked]]</f>
        <v>1.673913043478261</v>
      </c>
    </row>
    <row r="39" spans="1:8" ht="15.6" customHeight="1" thickBot="1" x14ac:dyDescent="0.35">
      <c r="A39" s="4">
        <v>124</v>
      </c>
      <c r="B39" s="2" t="s">
        <v>35</v>
      </c>
      <c r="C39" s="2" t="s">
        <v>8</v>
      </c>
      <c r="D39" s="2">
        <v>34</v>
      </c>
      <c r="E39" s="2">
        <v>48</v>
      </c>
      <c r="F39" s="2">
        <v>76</v>
      </c>
      <c r="G39" s="2">
        <v>3</v>
      </c>
      <c r="H39" s="19">
        <f>empT[[#This Row],[Tasks_Completed]]/empT[[#This Row],[Hours_Worked]]</f>
        <v>1.411764705882353</v>
      </c>
    </row>
    <row r="40" spans="1:8" ht="15.6" customHeight="1" x14ac:dyDescent="0.3">
      <c r="A40" s="8">
        <v>125</v>
      </c>
      <c r="B40" s="9" t="s">
        <v>36</v>
      </c>
      <c r="C40" s="9" t="s">
        <v>14</v>
      </c>
      <c r="D40" s="9">
        <v>47</v>
      </c>
      <c r="E40" s="9">
        <v>79</v>
      </c>
      <c r="F40" s="9">
        <v>99</v>
      </c>
      <c r="G40" s="9">
        <v>5</v>
      </c>
      <c r="H40" s="19">
        <f>empT[[#This Row],[Tasks_Completed]]/empT[[#This Row],[Hours_Worked]]</f>
        <v>1.6808510638297873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Q1</vt:lpstr>
      <vt:lpstr>Q2</vt:lpstr>
      <vt:lpstr>Q3</vt:lpstr>
      <vt:lpstr>Q4</vt:lpstr>
      <vt:lpstr>Q5</vt:lpstr>
      <vt:lpstr>Q6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Kumar</dc:creator>
  <cp:lastModifiedBy>Sumit Kumar</cp:lastModifiedBy>
  <dcterms:created xsi:type="dcterms:W3CDTF">2025-12-03T08:34:00Z</dcterms:created>
  <dcterms:modified xsi:type="dcterms:W3CDTF">2025-12-03T13:45:13Z</dcterms:modified>
</cp:coreProperties>
</file>